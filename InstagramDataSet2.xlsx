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DELL\Desktop\InternTask\"/>
    </mc:Choice>
  </mc:AlternateContent>
  <xr:revisionPtr revIDLastSave="0" documentId="13_ncr:1_{09A62DC3-3EDC-486F-A2A9-85C384905C1E}" xr6:coauthVersionLast="47" xr6:coauthVersionMax="47" xr10:uidLastSave="{00000000-0000-0000-0000-000000000000}"/>
  <bookViews>
    <workbookView xWindow="-108" yWindow="-108" windowWidth="23256" windowHeight="12456" xr2:uid="{9FBB4706-055E-4616-8C8A-422779FBBD21}"/>
  </bookViews>
  <sheets>
    <sheet name="Instagram Post Engagement" sheetId="2" r:id="rId1"/>
    <sheet name="Instagram Age Gender Demographi" sheetId="3" r:id="rId2"/>
    <sheet name="Instagram Top Cities Regions" sheetId="4" r:id="rId3"/>
    <sheet name="SupermetricsQueries (2)" sheetId="5" r:id="rId4"/>
  </sheets>
  <externalReferences>
    <externalReference r:id="rId5"/>
  </externalReferences>
  <definedNames>
    <definedName name="zsupermetrics_5ZtYsm3y3bzASPRHhygSEXypMfWSSx">#REF!</definedName>
    <definedName name="zsupermetrics_ABLjYVy5MubPJ58ud64QEYUnf3BKnL">#REF!</definedName>
    <definedName name="zsupermetrics_forceRefresh" localSheetId="3">'SupermetricsQueries (2)'!$H$4</definedName>
    <definedName name="zsupermetrics_GDj5YnERaSbcMsLXGnWBLfWz8C8rMn">'[1]Instagram Profile Overview'!$A$1:$H$380</definedName>
    <definedName name="zsupermetrics_ksYj9BGSguKMXWGS7GQDKCnAMVzA57">'Instagram Top Cities Regions'!$A$1:$D$51</definedName>
    <definedName name="zsupermetrics_refreshAll" localSheetId="3">'SupermetricsQueries (2)'!$H$5</definedName>
    <definedName name="zsupermetrics_refreshAllSilent" localSheetId="3">'SupermetricsQueries (2)'!$H$6</definedName>
    <definedName name="zsupermetrics_SkbmV9BtudScLBteNfKWkajssXhVys" localSheetId="1">'[1]Instagram Post Engagement'!$A$1:$K$62</definedName>
    <definedName name="zsupermetrics_SkbmV9BtudScLBteNfKWkajssXhVys" localSheetId="2">'[1]Instagram Post Engagement'!$A$1:$K$62</definedName>
    <definedName name="zsupermetrics_SkbmV9BtudScLBteNfKWkajssXhVys" localSheetId="3">'[1]Instagram Post Engagement'!$A$1:$K$62</definedName>
    <definedName name="zsupermetrics_SkbmV9BtudScLBteNfKWkajssXhVys">'Instagram Post Engagement'!$A$1:$K$62</definedName>
    <definedName name="zsupermetrics_vEcXfrw7XizjEaUcUa9j987sreKKnQ" localSheetId="2">'[1]Instagram Age Gender Demographi'!$A$1:$C$22</definedName>
    <definedName name="zsupermetrics_vEcXfrw7XizjEaUcUa9j987sreKKnQ" localSheetId="3">'[1]Instagram Age Gender Demographi'!$A$1:$C$22</definedName>
    <definedName name="zsupermetrics_vEcXfrw7XizjEaUcUa9j987sreKKnQ">'Instagram Age Gender Demographi'!$A$1:$C$22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1" i="5" l="1"/>
  <c r="E21" i="5"/>
  <c r="D22" i="5"/>
  <c r="E22" i="5"/>
  <c r="D23" i="5"/>
  <c r="E23" i="5"/>
  <c r="D24" i="5"/>
  <c r="E2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F19" authorId="0" shapeId="0" xr:uid="{052CCA8B-B63B-49C4-8397-F84B347D404C}">
      <text>
        <r>
          <rPr>
            <sz val="10"/>
            <color rgb="FF000000"/>
            <rFont val="Calibri"/>
            <scheme val="minor"/>
          </rPr>
          <t>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r>
      </text>
    </comment>
    <comment ref="AU19" authorId="0" shapeId="0" xr:uid="{711CBDEC-A7D8-4713-8086-6ACD0B66C8A5}">
      <text>
        <r>
          <rPr>
            <sz val="10"/>
            <color rgb="FF000000"/>
            <rFont val="Calibri"/>
            <scheme val="minor"/>
          </rPr>
          <t>When the query is refreshed, the add-on will use the credentials of this account, unless it has been logged out, in which case the credentials of the currently logged in account will be used.</t>
        </r>
      </text>
    </comment>
  </commentList>
</comments>
</file>

<file path=xl/sharedStrings.xml><?xml version="1.0" encoding="utf-8"?>
<sst xmlns="http://schemas.openxmlformats.org/spreadsheetml/2006/main" count="753" uniqueCount="584">
  <si>
    <t>178f09212ab31eaca05a616b8bf61b8e3c8c7bba0419f591c1097387c2637580</t>
  </si>
  <si>
    <t>FEED</t>
  </si>
  <si>
    <t>It can be really hard when our kids start to talk about our divorce to their friends...
It means other parents might know about our divorce before we are ready...
This can bring up huge feelings of not being a good enough mum, shame and failure...
If you are in this camp, I have been there...
It gets easier and this is not your story, it is just part of your story.
You've got this!
#mumanxiety #mumguilt #mumguiltisreal</t>
  </si>
  <si>
    <t>18047131999889355</t>
  </si>
  <si>
    <t>2f1aae84de4a164aabea086fe509c9d48e1e9829c59df458adf50d91f8ee376e</t>
  </si>
  <si>
    <t>REELS</t>
  </si>
  <si>
    <t>Comment ‘GUIDE’ for my free guide on how to help your child transition happily between homes. 
It's ok to say to your child...
‘I hear you don’t want to go to Dad’s house, sometimes we do what we want to do &amp; sometimes we do what we have to do. This, right now, is something we have to do.
It might feel hard, I know.
I also know you can do it &amp; that you'll be ok'
From one separated mum to another, you’ve got this 💖💪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</si>
  <si>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67411b49f4479010fafce759e5342bf458a04200c50490d847280fd618afcd53</t>
  </si>
  <si>
    <t>Reminder:
No matter what your marital status is, a loving, present parent is what your children really need to thrive!
From one separated mum to another, you’ve got this 💖💪
#mumanxiety #mumguilt #mumguiltisreal</t>
  </si>
  <si>
    <t>18050838700839210</t>
  </si>
  <si>
    <t>04bc7ef29acf5ea0e1f8e35d4cfa6130df531b5996cfac31f2ff235f1f504060</t>
  </si>
  <si>
    <t>If you snap at your child because you're stressed by everything that motherhood brings, as well as the pressures of divorce... That's normal! You are human and you won't get it right all of the time. What matters is that you make a repair with your child... I am a therapist and a divorced Mum of 2, and this is what I say to repair with my children... I am sorry for speaking in a cross voice. I have my own big feelings and they came out in a cross voice. I am sure that felt scary and sad for you. It's not your fault. I love you so much. Remember: Good mums don't get it right all the time... Good mums repair!"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</si>
  <si>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18050919739826668</t>
  </si>
  <si>
    <t>1e619a202f708d84dd4a2a150b89b4600d4893237268e34f57aa91eee81fde11</t>
  </si>
  <si>
    <t>Tears ran down my face as I dropped my son off to his dad, leaving as he cried...	
There has to be another way than this I felt...	
As a therapist, I worked hard to find that other way, a way that helped my son be happy and feel secure...
And now I have cracked it for my son, I want to share what I did with you...
Comment 'Guide' and I will DM you a link to my step-by-step guide.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</si>
  <si>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18347817988138734</t>
  </si>
  <si>
    <t>03522c38a0839d72d1a1302453ea888f44d2ab32e3f1d65b53f050f84ba47c22</t>
  </si>
  <si>
    <t>"Picture this: Your child in 20 years time, happy, secure and thriving, all because of how you supported them through your divorce.
You've got this, mama!"
#singlemums #singlemumuk #singlemumlife #solomums #singlemomlife #singlemoms #singlemother #singleparents</t>
  </si>
  <si>
    <t>18010442831330071</t>
  </si>
  <si>
    <t>a3b04ec850713cb3735b7c2a25f84638702883af95bb26b794de6e7da8998938</t>
  </si>
  <si>
    <t>Reminder:
No matter what your marital status is, a loving, present parent is what your children really need to thrive!
From one separated mum to another, you’ve got this 💖💪
#mumanxiety #mumguilt #mumguiltisreal</t>
  </si>
  <si>
    <t>17911374569988909</t>
  </si>
  <si>
    <t>a27d909cb43b85b1578f486c89975d9886238c58868181c9bd456de200639541</t>
  </si>
  <si>
    <t>Do you ever look at your friends who are in healthy relationships with their family together and feel like you’ve let your kids down? I suffered with this for years!
#divorcecommunity #lifeafterdivorce #divorcedparents #divorcedmum #divorcedmom #divorce #singlemums #singlemumuk #singlemumlife #solomums #singlemomlife #singlemoms #singlemother #singleparents</t>
  </si>
  <si>
    <t>18263726083216263</t>
  </si>
  <si>
    <t>29c029410ad091cab95f2bf4a27e3714660be775f42f04834447894db0bc7738</t>
  </si>
  <si>
    <t>The key things you need to do, to process your sadness around your divorce so your kids can too…	
Comment ‘guide’ and I will send you a free step-by-step guide.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</si>
  <si>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18365540305100555</t>
  </si>
  <si>
    <t>6882d3ceeb9dde19e9467a5c5eda4cdf9dfaced0da7931db09448ad481b8a4fe</t>
  </si>
  <si>
    <t>8 Reminders for Mums Going Through Divorce
Reminder 1: Take Time for Yourself: Self-care is not selfish; it's essential.
Reminder 2: Seek Support: Don't be afraid to ask for help from friends or professionals.
Reminder 3: Stay Positive: Focus on the new opportunities and growth.
Reminder 4: Communicate: Keep lines of communication open with your children.
Reminder 5:  Be Kind to Yourself: It's okay to have bad days; give yourself grace.
Reminder 6: Stay Organised: Keep important documents and schedules in order.
Reminder 7:  Prioritise Well-being: Make health and wellness a priority for you and your children.
Reminder 8: Look Forward: Focus on building a bright future for you and your family.
You've got this!
#DivorceSupport, #MumLife, #SelfCare #divorcewithkids #separationwithkids #coparenting #supportingchildrenthroughdivorce #childcentereddivorce #parentinganddivorce #parentingduringdivorce #parentingguide #singleparenting #singlemums #singlemumuk #singlemumlife #solomums #singlemomlife #singlemoms #singlemother #singleparents</t>
  </si>
  <si>
    <t>18032651030178268</t>
  </si>
  <si>
    <t>14a3f8404aa468fe3074dc0bf6202f4f2a039004afe1c4ae1bc614cb7746b90d</t>
  </si>
  <si>
    <t>When I was a kid and my parents got divorced, I witnessed my Mum transformed... She became dedicated to self-care, self-development and healing herself... I watched her get a job, find herself, meet her own needs and thrive as a parent and human... There were definitely hard times, lots of tears and I was hurting over my parents divorce... But one of the best gifts my parents divorce gave me, was seeing my mum thrive into the person she is today, and teach me about self-care, self-love, boundaries and what healthy relationship looks like. I am running a free masterclass to teach you how to ensure this is your story. Comment 'Class' and I will DM you a link. From a therapist and fellow separated mum, you've got this!
#singleparents #divorcewithkids #separationwithkids #supportingchildrenthroughdivorce #parentinganddivorce #parentingduringdivorce #singleparenting #mumanxiety #mumguilt</t>
  </si>
  <si>
    <t>18014450045303860</t>
  </si>
  <si>
    <t>d09bf912436e183277b7a1986d390866b7a8c861818022d7c74a17decd9ad4e9</t>
  </si>
  <si>
    <t>8 reminders you need to hear today as a divorced mum:
1. Life is too short to let loneliness drive you back to toxic people
2. Sometimes what didn't work out for you really worked out for you
3. Life is to be lived - not controlled
4. Change is scary, but so is staying the same
5. Some people judge you for changing, other people celebrate you for growing - choose your circle wisely
6. Love yourself instead of loving the idea of other people loving you
7. Just because it's taking time doesn't mean it's not happening
8. Get yourself the support you need to ensure your children thrive. I am running a free masterclass to give you the tools you need. Comment 'Class' and I'll send you a link to sign up
 #divorcecommunity #lifeafterdivorce #divorcedparents #divorcedmum #divorcedmom #divorce #singlemums #singlemumuk #singlemumlife #solomums #singlemomlife #singlemoms #singlemother #singleparents</t>
  </si>
  <si>
    <t>17928975944925624</t>
  </si>
  <si>
    <t>65261a8c9e5180dbba90767399007d295a51e886ff05963b3b8caecc63e5f92c</t>
  </si>
  <si>
    <t>Divorce Transformed My Mum... She became dedicated to self-care, self-development and healing herself... I watched her get a job, find herself, meet her own needs and thrive as a parent and human... There were definitely hard times, lots of tears and I was hurting over my parents divorce ... But one of the best gifts my parents divorce gave me, was seeing my mum thrive into the person she is today, and teach me about self-care, self-love, boundaries and what healthy relationship looks like. To all of the separated Mum’s out there, remember that your strength and the lessons you teach your children through your divorce, can far outweigh the negatives! Keep going! You’ve got this!
Comment 'Class' for my free masterclass.
 #divorcecommunity #lifeafterdivorce #divorcedparents #divorcedmum #divorcedmom #divorce #mumanxiety #mumguilt #mumguiltisreal</t>
  </si>
  <si>
    <t>18365309383108338</t>
  </si>
  <si>
    <t>26ea3b17d1cb83f95a00a1098126f775d2f77e9b97d20e11bfb07618ea5d51a5</t>
  </si>
  <si>
    <t>I don’t know who needs to hear this but divorce doesn’t have to be the end of your child’s happy childhood, it can be the beginning of it…
I am a therapist and divorced mum, and I am running a free masterclass to show you how. Comment 'Class' to sign up. 💖💪
 #divorcewithkids #separationwithkids #coparenting #supportingchildrenthroughdivorce #childcentereddivorce #parentinganddivorce #parentingduringdivorce #parentingguide #singleparenting #singlemums #singlemumuk #singlemumlife #solomums #singlemomlife #singlemoms #singlemother #singleparents</t>
  </si>
  <si>
    <t>18436059886070803</t>
  </si>
  <si>
    <t>66da6c8c9c486bb1a47c3335eb29edb64973b656cb042b5f058f674a051051e8</t>
  </si>
  <si>
    <t>Single mums:
I am running a free masterclass series on how to support your children to thrive through divorce.
Comment 'Class' to sign up.
 #divorcecommunity #lifeafterdivorce #divorcedparents #divorcedmum #divorcedmom #divorce #singlemums #singlemumuk #singlemumlife #solomums #singlemomlife #singlemoms #singlemother #singleparents</t>
  </si>
  <si>
    <t>18092615212421294</t>
  </si>
  <si>
    <t>8404f055c48afed8cacda9da8ae72c87378eaf3b5e47cad2ea4e2e368fe69de0</t>
  </si>
  <si>
    <t>Do you ever look at your friends who are in healthy relationships with their family together and feel sad that your children don’t have that?
I suffered with this for years!
As a therapist and divorced mum I want you to know that there is a way for your children to thrive through your divorce...
I am running a free masterclass series that will teach you how. Spaces are limited. Comment 'Class' to sign up.
 #divorcewithkids #separationwithkids #coparenting  #parentingduringdivorce #parentingguide #singleparenting #singlemums #singlemumuk #singlemumlife #solomums #singlemomlife #singlemoms #singlemother #singleparents</t>
  </si>
  <si>
    <t>18094173529454842</t>
  </si>
  <si>
    <t>bf2fbe5923ebf8e106a7e62f64a05d5bbd5959b6deee7f795cc4fa241725147a</t>
  </si>
  <si>
    <t>If you snap at your child because you're stressed by everything that motherhood brings, as well as the pressures of divorce... That's normal! You are human and you won't get it right all of the time. What matters is that you make a repair with your child... I am a therapist and a divorced Mum of 2, and this is what I say to repair with my children... I am sorry for speaking in a cross voice. I have my own big feelings and they came out in a cross voice. I am sure that felt scary and sad for you. It's not your fault. I love you so much. 
Remember: Good mums don't get it right all the time... Good mums repair!"
I am running a free masterclass series that will teach you how to get it right for your kids through divorce. Spaces are limited. 
Comment 'Class' to sign up.
 #mumanxiety #mumguilt #mumguiltisreal #divorcecommunity #lifeafterdivorce #divorcedparents #divorcedmum #divorcedmom #divorce #divorcewithkids #separationwithkids #coparenting #supportingchildrenthroughdivorce #childcentereddivorce #parentinganddivorce #parentingduringdivorce #parentingguide #singleparenting</t>
  </si>
  <si>
    <t>18020162273212281</t>
  </si>
  <si>
    <t>8b1b45d4d22f96a307b88acfb111a9597994fd699de5833433e04f4620be4a1d</t>
  </si>
  <si>
    <t>Comment 'CLASS' below and I will DM you an exclusive link to sign up FREE for the live masterclass 👇
 #mumanxiety #mumguilt #mumguiltisreal #divorcewithkids #separationwithkids #coparenting #supportingchildrenthroughdivorce #childcentereddivorce #parentinganddivorce #parentingduringdivorce #parentingguide #singleparenting #singlemums</t>
  </si>
  <si>
    <t>18164320771308795</t>
  </si>
  <si>
    <t>55ba6188e773d8fd283838d90d5801621d1cf770320d50024771076219c284c0</t>
  </si>
  <si>
    <t>Comment 'CLASS' below and I will DM you an exclusive link to sign up FREE for the live masterclass 👇
 #divorcewithkids #separationwithkids #coparenting #supportingchildrenthroughdivorce #childcentereddivorce #parentinganddivorce #parentingduringdivorce #parentingguide #singleparenting #mumanxiety #mumguilt #mumguiltisreal</t>
  </si>
  <si>
    <t>17964468689664838</t>
  </si>
  <si>
    <t>6dd030dd970f5cd3a837e8e1bc725264fad36a95db9ad1e0f9b0285652625dd5</t>
  </si>
  <si>
    <t>Comment 'CLASS' below and I will DM you an exclusive link to sign up FREE for the live masterclass 👇
 #divorcewithkids #separationwithkids #coparenting #supportingchildrenthroughdivorce #childcentereddivorce #parentinganddivorce #parentingduringdivorce #parentingguide #singleparenting #mumanxiety #mumguilt #mumguiltisreal #divorcecommunity #lifeafterdivorce #divorcedparents #divorcedmum #divorcedmom #divorce</t>
  </si>
  <si>
    <t>18310435600092501</t>
  </si>
  <si>
    <t>453124712371442963feab2589307562779363414ff0dc4196639bc54d942bec</t>
  </si>
  <si>
    <t>Here's a story about how I helped my kids thrive through divorce...
I focused on what I can control...
I surrounded myself with people who could support me...
And I made a step-by-step guide of what my kids needed to feel secure, BUT...
You don't have to make this guide, because I want to share mine with you, I am a therapist and it brought so much security to my kids lives...
Comment 'Class' and I will send you a link to my exclusive free masterclass. So you can support your kids through divorce in the right way. 
You've got this!
 #singlemums #singlemumuk #singlemumlife #solomums #singlemomlife #singlemoms #singlemother #singleparents #divorcecommunity #lifeafterdivorce #divorcedparents #divorcedmum #divorcedmom #divorce</t>
  </si>
  <si>
    <t>17851227285275913</t>
  </si>
  <si>
    <t>c7d17547301ec9fa69f6118b6466121a984596ce02565dbfddba82c1404653e4</t>
  </si>
  <si>
    <t>I HOPE MY DAUGHTER DOESN'T ACCEPT THINGS I'VE ACCEPTED, THAT SHE KNOWS HER WORTH FROM THE START AND KNOWS SHE ALWAYS HAS ME IN HER CORNER.
I am a therapist and divorced mum, and I am running a free masterclass to show you how. 
Comment 'Class' to sign up.
 #mumanxiety #mumguilt #mumguiltisreal #singlemums #singlemumuk #singlemumlife #solomums #singlemomlife #singlemoms #singlemother #singleparents</t>
  </si>
  <si>
    <t>18109557286408102</t>
  </si>
  <si>
    <t>76b56bbdc9ddf7f9e8179420f3436ec5dec0791dc4bb171db88f5da77a7e1788</t>
  </si>
  <si>
    <t>Comment 'CLASS' below and I will DM you an exclusive link to sign up FREE for the live masterclass 👇 
#divorcecommunity #lifeafterdivorce #divorcedparents #divorcedmum #divorcedmom #divorce #mumanxiety #mumguilt #mumguiltisreal</t>
  </si>
  <si>
    <t>18167401450314418</t>
  </si>
  <si>
    <t>f07c88d4f4800b2cf427835a603174fb3e94728843fd96afafb3ebee2a6e6a93</t>
  </si>
  <si>
    <t>Comment ‘CLASS’ to sign up to my free masterclass series T hat will break down what your child needs to thrive through your divorce. 
You’ve got this muma! 💖💪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</si>
  <si>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18283328140241715</t>
  </si>
  <si>
    <t>94e34624be5f032a40957184c0daa4d242b052fab17a4c44bf46614e8f3c9e1c</t>
  </si>
  <si>
    <t>Comment ‘CLASS’ to sign up to my free masterclass series! Breaking down what your child needs to thrive through your divorce. 
You’ve got this muma! 💖💪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</si>
  <si>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17846658567340742</t>
  </si>
  <si>
    <t>d75e03444e7f0e51321d30d1bb2dc795116519e26590285b8c6cdad1713ee5d2</t>
  </si>
  <si>
    <t>If you snap at your child because you're stressed by everything that motherhood brings, as well as the pressures of divorce... That's normal! You are human and you won't get it right all of the time. What matters is that you make a repair with your child... I am a therapist and a divorced Mum of 2, and this is what I say to repair with my children... I am sorry for speaking in a cross voice. I have my own big feelings and they came out in a cross voice. I am sure that felt scary and sad for you. It's not your fault. I love you so much.
Remember: Good mums don't get it right all the time... Good mums repair!"
I am running a free masterclass series that will teach you how to get it right for your kids through divorce. Spaces are limited.
Comment 'Class' to sign up.
 #divorcecommunity #lifeafterdivorce #divorcedparents #divorcedmum #divorcedmom #divorce #mumanxiety #mumguilt #mumguiltisreal #singlemums #singlemumuk #singlemumlife #solomums #singlemomlife #singlemoms #singlemother #singleparents</t>
  </si>
  <si>
    <t>18281861011173718</t>
  </si>
  <si>
    <t>d5f3224ec82f120bca94102b32c8079f292facbb8cd8cfbc849cec403d165048</t>
  </si>
  <si>
    <t>18048272566843979</t>
  </si>
  <si>
    <t>4cbf181ece5d0677d431f1caf857f0e271ccfa9ecc65994094f006279c27890c</t>
  </si>
  <si>
    <t>Divorce Transformed My Mum... She became dedicated to self-care, self-development and healing herself... I watched her get a job, find herself, meet her own needs and thrive as a parent and human... There were definitely hard times, lots of tears and I was hurting over my parents divorce... But one of the best gifts my parents divorce gave me, was seeing my mum thrive into the person she is today, and teach me about self-care, self-love, boundaries and what healthy relationship looks like. To all of the separated Mum’s out there, remember that your strength and the lessons you teach your children through your divorce, can far outweigh the negatives! Keep going! You’ve got this!
Comment 'Class' for my free masterclass.
 #mumanxiety #mumguilt #mumguiltisreal #singlemums #singlemumuk #singlemumlife #solomums #singlemomlife #singlemoms #singlemother #singleparents #supportingchildrenthroughdivorce #childcentereddivorce #parentinganddivorce #parentingduringdivorce #parentingguide #singleparenting</t>
  </si>
  <si>
    <t>18025300646448198</t>
  </si>
  <si>
    <t>55f85776f16fe38f21a788ff77ec10aa77154f4d5bb4ec1e516882ca93ccb7e8</t>
  </si>
  <si>
    <t>When I was a kid and my parents got divorced, I witnessed my Mum transformed... She became dedicated to self-care, self-development and healing herself... I watched her get a job, find herself, meet her own needs and thrive as a parent and human... There were definitely hard times, lots of tears and I was hurting over my parents divorce... But one of the best gifts my parents divorce gave me, was seeing my mum thrive into the person she is today, and teach me about self-care, self-love, boundaries and what healthy relationship looks like. I am running a free masterclass to teach you how to ensure this is your story. 
Comment 'Class' and I will DM you a link. 
From a therapist and fellow separated mum, you've got this!
 #mumanxiety #mumguilt #mumguiltisreal #singlemums #singlemumuk #singlemumlife #solomums #singlemomlife #singlemoms #singlemother #singleparents</t>
  </si>
  <si>
    <t>18024479765446917</t>
  </si>
  <si>
    <t>bd26ab4d1d64a5c1987f9c0ee90ae56895edfe768927db8fef027f811cc69194</t>
  </si>
  <si>
    <t>I don’t know who needs to hear this but divorce doesn’t have to be the end of your child’s happy childhood, it can be the beginning of it…
I am a therapist and divorced mum, and I am running a free masterclass to show you how. Comment 'Class' to sign up. 💖💪
 #mumanxiety #mumguilt #mumguiltisreal #divorcecommunity #lifeafterdivorce #divorcedparents #divorcedmum #divorcedmom #divorce</t>
  </si>
  <si>
    <t>17984941109767323</t>
  </si>
  <si>
    <t>31ac7438ec1f1cf9fce661db1822e89b7b67f0b8a6ec60aa99436aabe6c1db49</t>
  </si>
  <si>
    <t>If you snap at your child because you're stressed by everything that motherhood brings, as well as the pressures of divorce... That's normal! You are human and you won't get it right all of the time. What matters is that you make a repair with your child... I am a therapist and a divorced Mum of 2, and this is what I say to repair with my children... I am sorry for speaking in a cross voice. I have my own big feelings and they came out in a cross voice. I am sure that felt scary and sad for you. It's not your fault. I love you so much.
Remember: Good mums don't get it right all the time... Good mums repair!"
I am running a free masterclass series that will teach you how to get it right for your kids through divorce. Spaces are limited.
Comment 'Class' to sign up.
 #singlemums #singlemumuk #singlemumlife #solomums #singlemomlife #singlemoms #singlemother #singleparents #divorcewithkids #separationwithkids #coparenting #supportingchildrenthroughdivorce #childcentereddivorce #parentinganddivorce</t>
  </si>
  <si>
    <t>18024620363250346</t>
  </si>
  <si>
    <t>ca3b48863a63023c41ec690563234beb89477c18b6029cadc32276b31b64cba6</t>
  </si>
  <si>
    <t>Single mums:
I am running a free masterclass series on how to support your children to thrive through divorce.
Comment 'Class' to sign up.
 #divorcecommunity #lifeafterdivorce #divorcedparents #divorcedmum #divorcedmom #divorce #singlemums #singlemumuk #singlemumlife #solomums #singlemomlife #singlemoms #singlemother</t>
  </si>
  <si>
    <t>17998157399701918</t>
  </si>
  <si>
    <t>49d7c44fe51fcba432d743f096c8b1e73494959e48e49d07910aa3cb8c9b3ee6</t>
  </si>
  <si>
    <t>8 reminders you need to hear today as a divorced mum:
1. Life is too short to let loneliness drive you back to toxic people
2. Sometimes what didn't work out for you really worked out for you
3. Life is to be lived - not controlled
4. Change is scary, but so is staying the same
5. Some people judge you for changing, other people celebrate you for growing - choose your circle wisely
6. Love yourself instead of loving the idea of other people loving you
7. Just because it's taking time doesn't mean it's not happening
8. Get yourself the support you need to ensure your children thrive. I am running a free masterclass to give you the tools you need. 
Comment 'Class' and I'll send you a link to sign up!
 #divorcecommunity #lifeafterdivorce #divorcedparents #divorcedmum #divorcedmom #divorce #singlemums #singlemumuk #singlemumlife #solomums #singlemomlife #singlemoms #singlemother #singleparents</t>
  </si>
  <si>
    <t>18077447254583656</t>
  </si>
  <si>
    <t>90ae5350d45fa85abd678f7e979c31467a7cfee3d6ae04240ce57bc635ceaa15</t>
  </si>
  <si>
    <t>Comment 'CLASS' below and I will DM you an exclusive link to sign up FREE for the live masterclass 👇
 #mumanxiety #mumguilt #mumguiltisreal #divorcewithkids #separationwithkids #coparenting #supportingchildrenthroughdivorce #childcentereddivorce #parentinganddivorce #parentingduringdivorce #parentingguide #singleparenting #singlemums #singlemumuk #singlemumlife #solomums #singlemomlife #singlemoms #singlemother</t>
  </si>
  <si>
    <t>18014677454392667</t>
  </si>
  <si>
    <t>972a1e8f5a7aa400236e9f6ae86ee8ba62488e66109dd94624960ade12ee686f</t>
  </si>
  <si>
    <t>I HOPE MY DAUGHTER DOESN'T ACCEPT THINGS I'VE ACCEPTED, THAT SHE KNOWS HER WORTH FROM THE START AND KNOWS SHE ALWAYS HAS ME IN HER CORNER.
I am a therapist and divorced mum, and I am running a free masterclass to show you how.
Comment 'Class' to sign up.
 #divorcecommunity #lifeafterdivorce #divorcedparents #divorcedmum #divorcedmom #divorce #mumanxiety #mumguilt #mumguiltisreal</t>
  </si>
  <si>
    <t>18041689202156866</t>
  </si>
  <si>
    <t>8a24da744e5c00a9e6c2a60a91b4d3a5bf7dc4ec64ea9fd0078f24b7551a02db</t>
  </si>
  <si>
    <t>Comment 'CLASS' below and I will DM you an exclusive link to sign up FREE for the live masterclass 👇
 #singlemums #singlemumuk #singlemumlife #solomums #singlemomlife #singlemoms #singlemother #singleparents #divorcewithkids #separationwithkids #coparenting #supportingchildrenthroughdivorce #childcentereddivorce #parentinganddivorce</t>
  </si>
  <si>
    <t>18049170218056179</t>
  </si>
  <si>
    <t>096343bf1d070c68d72b16ea3011cdd2aa47c729f10d5b0032c36d2848654b79</t>
  </si>
  <si>
    <t>Comment ‘TEST’ and I’ll send you a link to my free personality test! Answered by you to give you insight on how your child’s brain works and how to support them based on that. Breaking down what your child needs to thrive through your divorce. 
You’ve got this muma! 💖💪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</si>
  <si>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18121550719398060</t>
  </si>
  <si>
    <t>ca11b0e312ecea90b40d3a7fbf53ab1010d1738304931786b9a83d743fa8c2f4</t>
  </si>
  <si>
    <t>When I was a kid and my parents got divorced, I witnessed my Mum transformed... She became dedicated to self-care, self-development and healing herself... I watched her get a job, find herself, meet her own needs and thrive as a parent and human... There were definitely hard times, lots of tears and I was hurting over my parents divorce... But one of the best gifts my parents divorce gave me, was seeing my mum thrive into the person she is today, and teach me about self-care, self-love, boundaries and what healthy relationship looks like. I am running a free masterclass to teach you how to ensure this is your story. Comment 'Class' and I will DM you a link. From a therapist and fellow separated mum, you've got this!
 #divorcecommunity #lifeafterdivorce #divorcedparents #divorcedmum #divorcedmom #divorce #mumanxiety #mumguilt #mumguiltisreal #divorcewithkids #separationwithkids #coparenting #supportingchildrenthroughdivorce #childcentereddivorce #parentinganddivorce #parentingduringdivorce #parentingguide #singleparenting</t>
  </si>
  <si>
    <t>18019595006335480</t>
  </si>
  <si>
    <t>7e2cc1bdc6f4418de071ed48376ed3b39970a1a121bbd519668dd3b3a970bf5f</t>
  </si>
  <si>
    <t>17875686192206247</t>
  </si>
  <si>
    <t>d5a64d6b71601d5cd28d1d28f290e003f786a3f02adb602bb396aa9572f99245</t>
  </si>
  <si>
    <t>I don’t know who needs to hear this but divorce doesn’t have to be the end of your child’s happy childhood, it can be the beginning of it…
I am a therapist and divorced mum, and I am running a free masterclass to show you how. Comment 'Class' to sign up. 💖💪
 #mumanxiety #mumguilt #mumguiltisreal #divorcewithkids #separationwithkids #coparenting #supportingchildrenthroughdivorce #childcentereddivorce #parentinganddivorce #parentingduringdivorce #parentingguide #singleparenting #singlemums #singlemumuk #singlemumlife</t>
  </si>
  <si>
    <t>17876292222207818</t>
  </si>
  <si>
    <t>dd7f72939fef0429e8299e81128aa43db380d4d49cbfd8eb6cdb48bbe3ecc27f</t>
  </si>
  <si>
    <t>Who’s the person that’s been there for you more than they know this year?
You’ve got this muma! 💖💪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</si>
  <si>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17927643506978216</t>
  </si>
  <si>
    <t>6ce5767cf4a38590c1c098d0cf58891dd3ad7a6871bf3704753c8d5dd8943077</t>
  </si>
  <si>
    <t>If your child says they love their other parent more than they love you. Instead of taking offence, allow space for them to express their feelings and hear it as a call to action. 
They want to feel more connected to you and you need to be the one to create that connection. 
You’ve got this muma! 💖💪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</si>
  <si>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18046513652282758</t>
  </si>
  <si>
    <t>f7d2e1c62c6a6403e33b06e0744d050abda51d8d484df15da83979d2b09aeae5</t>
  </si>
  <si>
    <t>Active listening is the most powerful way to increase the bond between you and your child. 
You’ve got this muma! 💖💪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</si>
  <si>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17997492398710485</t>
  </si>
  <si>
    <t>bc6104c9dcd30c180595c69ad6ed208c6425f5ac9fad993856345324c0bafe17</t>
  </si>
  <si>
    <t>Comment ‘GUIDE’ and I’ll send you a link to a free therapist-written guide on how to support your child when they feel anxious.
You’ve got this muma! 💖💪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</si>
  <si>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17848240302329240</t>
  </si>
  <si>
    <t>2c5c79c74e12bdd1f41c2b33117d2a7c5a9bc37924c6bfc7b0d46516f3faaf74</t>
  </si>
  <si>
    <t>Comment ‘podcast’ and I’ll send you a link to listen to my Christmas episode, all about how to get through Christmas when you don’t have your children with you as a divorced mum who’s coparenting. 
You’ve got this muma! 💖💪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</si>
  <si>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17951448236894935</t>
  </si>
  <si>
    <t>d31113dbc6c289245bbaa379eb09f08816941af3049002be17ce66b4b5c8b7de</t>
  </si>
  <si>
    <t>If 2024 felt hard, know that every day you are taking a step forward to a life that you and your kids can thrive in. 2025 is your come-back year!
You’ve got this muma! 💖💪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</si>
  <si>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18079823920523131</t>
  </si>
  <si>
    <t>54cd6fdbcea81b3500dafc7e19ce72e91be3045c5404645a4532940273e9b272</t>
  </si>
  <si>
    <t>18027820466540078</t>
  </si>
  <si>
    <t>d4e9449b478eb76c2555c24e3d316296ffa7582ac8d769736498c69fbeca6139</t>
  </si>
  <si>
    <t>Comment ‘CLASS’ to sign up to my free masterclass series! 
Breaking down what your child needs to thrive through your divorce. 
You’ve got this muma! 💖💪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</si>
  <si>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17871789783257881</t>
  </si>
  <si>
    <t>4845a6203e0cf5a47eda6303d9791b6e01d1210af05a968ed3cdb7f84938324c</t>
  </si>
  <si>
    <t>18092145148519991</t>
  </si>
  <si>
    <t>936b6702656e6d8b3eb715d2f8d6e85a72eb0f6d36756e8629fed4ac395d489b</t>
  </si>
  <si>
    <t>17906854434082351</t>
  </si>
  <si>
    <t>96486a2cfbeb4b857535a168ec197d92e0c29935cb6feb3032882cd74876be3a</t>
  </si>
  <si>
    <t>17987672999772081</t>
  </si>
  <si>
    <t>57d32bc2c2ad94cc0b3f404dd79a4c67cebfb48c25c9c241df538ea230f718fb</t>
  </si>
  <si>
    <t>17943921899801708</t>
  </si>
  <si>
    <t>3c6bee61771400c06b23b8bbc4f9d5f0d4f67bc288dfe2dea4bec43b032510cf</t>
  </si>
  <si>
    <t>17972263574687461</t>
  </si>
  <si>
    <t>d44efe1b80e81a0037be552d092f6a7aae3ff14cafe69964e093dc379cf6138d</t>
  </si>
  <si>
    <t>17933197655976170</t>
  </si>
  <si>
    <t>ada364bbdf2dfcc66151c4fbe4e967f5f86b7499acd31e1854882cd9c13846d1</t>
  </si>
  <si>
    <t>17854481766361749</t>
  </si>
  <si>
    <t>6b72bd8e876bd6b5320a9e0eff936532605307a78771c1a76ce99928ff627fc4</t>
  </si>
  <si>
    <t>18121297939423936</t>
  </si>
  <si>
    <t>48a803f148ba92cef3d43ac7944ce9bb44ffe97486927a8ab67ef25aa54954ff</t>
  </si>
  <si>
    <t>18012211340694193</t>
  </si>
  <si>
    <t>905354b956819e1cf3738a4541695cc1659b19fa2e7223e990d2b0df932bdecb</t>
  </si>
  <si>
    <t>18034591967437473</t>
  </si>
  <si>
    <t>68123274789468c3beb60c484c03735b62f4046cd452f3c1c2acee6cc8ac792c</t>
  </si>
  <si>
    <t>18027615518313508</t>
  </si>
  <si>
    <t>55102c6de8e1a68e015c44e3c8a600d06088fa042c29d0a1b9e023ca9af5d3c0</t>
  </si>
  <si>
    <t>18071205646706820</t>
  </si>
  <si>
    <t>673eb16a83d01ab25bd18d6511109e6f7205935760ece814ff19ea30f13c2b14</t>
  </si>
  <si>
    <t>17902204887015249</t>
  </si>
  <si>
    <t>RowHash</t>
  </si>
  <si>
    <t>Video views</t>
  </si>
  <si>
    <t>Unique saves</t>
  </si>
  <si>
    <t>Shares</t>
  </si>
  <si>
    <t>Comments count</t>
  </si>
  <si>
    <t>Like count</t>
  </si>
  <si>
    <t>Media reach</t>
  </si>
  <si>
    <t>Media impressions</t>
  </si>
  <si>
    <t>Media product type</t>
  </si>
  <si>
    <t>Media caption</t>
  </si>
  <si>
    <t>Media ID</t>
  </si>
  <si>
    <t>Date</t>
  </si>
  <si>
    <t>06d58adf701e9bcb3968e96bea4f545075a06ec0453de3c67acc6a2d07a01842</t>
  </si>
  <si>
    <t>13-17</t>
  </si>
  <si>
    <t>male</t>
  </si>
  <si>
    <t>d3e6493371d178f2ff69f465dc6949bac4346a3201ae6ea3e6e72003109674c0</t>
  </si>
  <si>
    <t>65+</t>
  </si>
  <si>
    <t>d0c6d55776298dafce30e4d274ee66ece41783fbca1806586c95ad847f6d4ef2</t>
  </si>
  <si>
    <t>female</t>
  </si>
  <si>
    <t>302d355d83b0bfec9ca5941f3b012aedfb941b34ff7424b96dff43f65bf4dede</t>
  </si>
  <si>
    <t>55-64</t>
  </si>
  <si>
    <t>b726a3a9cbd678d2f0bb4ea3848b7e9590594d48ad678b94aab1773e6ee7786f</t>
  </si>
  <si>
    <t>18-24</t>
  </si>
  <si>
    <t>0015e5d13d6cc8ef47a3b2ab9c1dc68d9634a8d9acfb6ddcb966fb5eb5fc560f</t>
  </si>
  <si>
    <t>5e00920a5c133589bb89fd60640b3c508feb2c3bf5cb572f9fffcea1e1062ff8</t>
  </si>
  <si>
    <t>undefined</t>
  </si>
  <si>
    <t>731e88e7fc255cb7dd68cd0581d8f601cfd5be8b416caae5e56b673e6a50c767</t>
  </si>
  <si>
    <t>bddb29d7354496be4099cdb0a7468c2b8b43397cf4c0141f00556fb1b6d1c85e</t>
  </si>
  <si>
    <t>a22207488c8a726dcb12241fa3aee5441477a2827169518d0bfad27523b1f3c8</t>
  </si>
  <si>
    <t>45-54</t>
  </si>
  <si>
    <t>64db17eb81bab2ed2956412b8b0738c317a04e64cfb45ffa324e829f3805ef4e</t>
  </si>
  <si>
    <t>25-34</t>
  </si>
  <si>
    <t>984a432a1e85bac7d10763e0163526da011945193cc5361d960f791650efb4ae</t>
  </si>
  <si>
    <t>048f74b93e6d0c7f644ed371630f8dd9cc5d851adffe59be7a783312f4a42786</t>
  </si>
  <si>
    <t>35-44</t>
  </si>
  <si>
    <t>56ce7f335b021473243a2887315846a8005cb98fbc195341857412dc1f915b4c</t>
  </si>
  <si>
    <t>d673eabcac1bb49f08a72ffd2610c4c111da4232b50948fe0d4ad6e31f991671</t>
  </si>
  <si>
    <t>4bca810eef771aeac85c317ef3bd6b281a8d26e21d888f09c771dc3be906c69f</t>
  </si>
  <si>
    <t>2adf31aa79f1d57d3ed25097b619e984f81847c2ed9810333a93b2655cb2d782</t>
  </si>
  <si>
    <t>0768595bfc57b85f93592de1d0981aec726b988837b5bd46d675f60eee8c3d3f</t>
  </si>
  <si>
    <t>68eb800d428714a8d55b1e3bb512bb30339512189e1784d3448bd919e1949d7a</t>
  </si>
  <si>
    <t>7a81d05c4780ad7a922ed766cafe425f1056eaa528466777376a71fd5c965be6</t>
  </si>
  <si>
    <t>3836dc690b93797a7f3beb6d6e9347cad037cc21c6a503759181272f6f29ff6e</t>
  </si>
  <si>
    <t>Profile followers</t>
  </si>
  <si>
    <t>Age</t>
  </si>
  <si>
    <t>Gender</t>
  </si>
  <si>
    <t>8016cfad47c2034a3122a8c4210cfae16c1e1eb961a28820df57a0724e4b3938</t>
  </si>
  <si>
    <t>England</t>
  </si>
  <si>
    <t>Derby, England</t>
  </si>
  <si>
    <t>Derby</t>
  </si>
  <si>
    <t>d8a5a9093a98143815348299e2ec80f7ab65345d492107e2ead504941cadbd57</t>
  </si>
  <si>
    <t>Pichincha Province</t>
  </si>
  <si>
    <t>Quito, Pichincha Province</t>
  </si>
  <si>
    <t>Quito</t>
  </si>
  <si>
    <t>5214d0bfdeb170c7774455bb39cc944be8deeb237d50c6e8f4463ee58521dc75</t>
  </si>
  <si>
    <t>Ciudad Autónoma de Buenos Aires</t>
  </si>
  <si>
    <t>Buenos Aires, Ciudad Autónoma de Buenos Aires</t>
  </si>
  <si>
    <t>Buenos Aires</t>
  </si>
  <si>
    <t>ffb3d5c098125f0cc45ecc2297e98fa34d4898217538bd88a358981a5975d7b2</t>
  </si>
  <si>
    <t>Islamabad Capital Territory</t>
  </si>
  <si>
    <t>Islamabad, Islamabad Capital Territory</t>
  </si>
  <si>
    <t>Islamabad</t>
  </si>
  <si>
    <t>2c096f540f41f5981c0df6d0c505098afd7ed67dfee68f085105c3162a52f4cc</t>
  </si>
  <si>
    <t>Jakarta</t>
  </si>
  <si>
    <t>Jakarta, Jakarta</t>
  </si>
  <si>
    <t>6d95bc5ad99f064f1ca6afb0059769a1e9894ebdce17d2394c81b3dde1b8dff4</t>
  </si>
  <si>
    <t>Lima Region</t>
  </si>
  <si>
    <t>Lima, Lima Region</t>
  </si>
  <si>
    <t>Lima</t>
  </si>
  <si>
    <t>64519d57479950f992f3574a92f9532525f0936886a2c317a2860ae4e5ef0d97</t>
  </si>
  <si>
    <t>Manchester, England</t>
  </si>
  <si>
    <t>Manchester</t>
  </si>
  <si>
    <t>fe6891e0138ebf52f1237bf1e6953d983490bbfb65815a8dd6b1740301e2421f</t>
  </si>
  <si>
    <t>Sheffield, England</t>
  </si>
  <si>
    <t>Sheffield</t>
  </si>
  <si>
    <t>a63c18882fcdca9598b415ea3c7342836bf5612234eea5dd34f12df1dc787860</t>
  </si>
  <si>
    <t>Scotland</t>
  </si>
  <si>
    <t>Edinburgh, Scotland</t>
  </si>
  <si>
    <t>Edinburgh</t>
  </si>
  <si>
    <t>fbbc28d709ce502a13401d914979775db9204cffa3297ac5c3b6185850580f74</t>
  </si>
  <si>
    <t>Guatemala Department</t>
  </si>
  <si>
    <t>Guatemala City, Guatemala Department</t>
  </si>
  <si>
    <t>Guatemala City</t>
  </si>
  <si>
    <t>05911d2384f8b1f8f17fc4c27ddc8d06e774fd57d61f9a70135366e25fa904a0</t>
  </si>
  <si>
    <t>Ontario</t>
  </si>
  <si>
    <t>Ottawa, Ontario</t>
  </si>
  <si>
    <t>Ottawa</t>
  </si>
  <si>
    <t>10f6ca25db76e885ec695196161a8a5ca2f197bb2525f6404873f71b8d39ad80</t>
  </si>
  <si>
    <t>Distrito Especial</t>
  </si>
  <si>
    <t>Bogotá, Distrito Especial</t>
  </si>
  <si>
    <t>Bogotá</t>
  </si>
  <si>
    <t>a010de563dab48ea416fba8d4d9b286cbe3a5a6bb73bf939a8d825f52c01df5a</t>
  </si>
  <si>
    <t>Gauteng</t>
  </si>
  <si>
    <t>Johannesburg, Gauteng</t>
  </si>
  <si>
    <t>Johannesburg</t>
  </si>
  <si>
    <t>af7adb65a9830b22c979ebe53f902c0592484d8c9cabdb7b64faf47a8b359523</t>
  </si>
  <si>
    <t>Punjab</t>
  </si>
  <si>
    <t>Rawalpindi, Punjab</t>
  </si>
  <si>
    <t>Rawalpindi</t>
  </si>
  <si>
    <t>4112f22ce7e62a269db77519d31669d241cc48caf3b76f6913dd3be5207bc9f5</t>
  </si>
  <si>
    <t>Dublin</t>
  </si>
  <si>
    <t>Dublin, Dublin</t>
  </si>
  <si>
    <t>439389b2f5063e94e359d804092a2938819bbea88dc1e7a70e6c4fb6b79ed236</t>
  </si>
  <si>
    <t>Glasgow, Scotland</t>
  </si>
  <si>
    <t>Glasgow</t>
  </si>
  <si>
    <t>c6e8f2b307acc78fe0cbd60be274516153ede88de2932ba3a2d62539389e3f52</t>
  </si>
  <si>
    <t>Sandton, Gauteng</t>
  </si>
  <si>
    <t>Sandton</t>
  </si>
  <si>
    <t>75ac02cb3ecbed391168e41af708c81bbe27044c9d70529b2d2dd032917a0fad</t>
  </si>
  <si>
    <t>Bristol, England</t>
  </si>
  <si>
    <t>Bristol</t>
  </si>
  <si>
    <t>3886659ad4316b28646c79d69dacd70c7d1a841e1c3aaa8ca4fd047cb2f793b0</t>
  </si>
  <si>
    <t>Panamá Province</t>
  </si>
  <si>
    <t>Panama City, Panamá Province</t>
  </si>
  <si>
    <t>Panama City</t>
  </si>
  <si>
    <t>fc6fff60b9397ad7dbd3ca8a631e38a86448cc9419389415ec0423e2d54e2fed</t>
  </si>
  <si>
    <t>Central Serbia</t>
  </si>
  <si>
    <t>Belgrade, Central Serbia</t>
  </si>
  <si>
    <t>Belgrade</t>
  </si>
  <si>
    <t>1b20b2cd13debd0f65fd13385be4f9ba285b21b2660b9f5f2dbda46c4f5bf4c7</t>
  </si>
  <si>
    <t>California</t>
  </si>
  <si>
    <t>Los Angeles, California</t>
  </si>
  <si>
    <t>Los Angeles</t>
  </si>
  <si>
    <t>2a0d8542da16807b729f7905ca0e8e9e968a58c997082920f38120b6ac6b6a29</t>
  </si>
  <si>
    <t>Amman Governorate</t>
  </si>
  <si>
    <t>Amman, Amman Governorate</t>
  </si>
  <si>
    <t>Amman</t>
  </si>
  <si>
    <t>cc1eede2bad5baa45bdc1e5a9871238f333d6155bfe5d210cd0019fdcf8ef8c6</t>
  </si>
  <si>
    <t>Singapore</t>
  </si>
  <si>
    <t>Singapore, Singapore</t>
  </si>
  <si>
    <t>5e7fe335e8e90ad99e55b95a95af11a4ba00bd56878b8a1a57b2b99d3ba16791</t>
  </si>
  <si>
    <t>Alexandria Governorate</t>
  </si>
  <si>
    <t>Alexandria, Alexandria Governorate</t>
  </si>
  <si>
    <t>Alexandria</t>
  </si>
  <si>
    <t>e6630a03c889c750f51ae12b5311eabc70421260ab5ac4dfd2ebbf7fa077deb5</t>
  </si>
  <si>
    <t>Western Australia</t>
  </si>
  <si>
    <t>Perth, Western Australia</t>
  </si>
  <si>
    <t>Perth</t>
  </si>
  <si>
    <t>3f42490b5d0c89374f54667dab6f25ba7399de42d6665dce5c3aef7c378135cd</t>
  </si>
  <si>
    <t>Federal Capital Territory</t>
  </si>
  <si>
    <t>Abuja, Federal Capital Territory</t>
  </si>
  <si>
    <t>Abuja</t>
  </si>
  <si>
    <t>7e731c07fe69e23cf7737a9175b1ec1f972ddb0fa356e03392127cecf57c552b</t>
  </si>
  <si>
    <t>Delhi</t>
  </si>
  <si>
    <t>Delhi, Delhi</t>
  </si>
  <si>
    <t>5e670ae4bf40db15da16b819b77e9ba17cca5384829403b5103211ba1cb74de7</t>
  </si>
  <si>
    <t>Dubai</t>
  </si>
  <si>
    <t>Dubai, Dubai</t>
  </si>
  <si>
    <t>6a3c0e236707b056ee86ecf4400b14ac6ab29444a58149779b52b410a2b8bd39</t>
  </si>
  <si>
    <t>Santiago Metropolitan Region</t>
  </si>
  <si>
    <t>Santiago, Santiago Metropolitan Region</t>
  </si>
  <si>
    <t>Santiago</t>
  </si>
  <si>
    <t>ddf58f5c34d95b2162bd84df7b1d26c56e93ed3cf0fe9d8345773a7e7bdf17d5</t>
  </si>
  <si>
    <t>Alberta</t>
  </si>
  <si>
    <t>Calgary, Alberta</t>
  </si>
  <si>
    <t>Calgary</t>
  </si>
  <si>
    <t>5dcde3e4f194d813c93060a92e8b442746c489c7d3137f8efe2087a3144d099c</t>
  </si>
  <si>
    <t>Liverpool, England</t>
  </si>
  <si>
    <t>Liverpool</t>
  </si>
  <si>
    <t>5a6fd859b074c858942e63c0b2d17260eb7e2983fbd4b6d2186761567fa795b8</t>
  </si>
  <si>
    <t>Karnataka</t>
  </si>
  <si>
    <t>Bangalore, Karnataka</t>
  </si>
  <si>
    <t>Bangalore</t>
  </si>
  <si>
    <t>735fda106e7ccb2a5692d78ade5cc96272633ef50dc0a1fb07b640d64364b549</t>
  </si>
  <si>
    <t>Birmingham, England</t>
  </si>
  <si>
    <t>Birmingham</t>
  </si>
  <si>
    <t>7e3f77b6c45565c8844af8e36dafa0ba6ef87ca247898e13bb7637d479eb8657</t>
  </si>
  <si>
    <t>Algiers Province</t>
  </si>
  <si>
    <t>Algiers, Algiers Province</t>
  </si>
  <si>
    <t>Algiers</t>
  </si>
  <si>
    <t>0805bc80dbeb3f2a4f447df6b5587353c917e5a5daf1edc7f1b1253ee72afcb3</t>
  </si>
  <si>
    <t>Grand Casablanca</t>
  </si>
  <si>
    <t>Casablanca, Grand Casablanca</t>
  </si>
  <si>
    <t>Casablanca</t>
  </si>
  <si>
    <t>6d10b062e0c2248f9b940758bd1811cfd002f9f137223478cef7e97c2bba4caa</t>
  </si>
  <si>
    <t>Distrito Federal</t>
  </si>
  <si>
    <t>Mexico City, Distrito Federal</t>
  </si>
  <si>
    <t>Mexico City</t>
  </si>
  <si>
    <t>702fee887d7d10f553eee804c93fc08f8392514ca7f417e6b2445008c6e9d222</t>
  </si>
  <si>
    <t>Istanbul Province</t>
  </si>
  <si>
    <t>Istanbul, Istanbul Province</t>
  </si>
  <si>
    <t>Istanbul</t>
  </si>
  <si>
    <t>6942b4e22c2c93739f71cd3fd8aeff1a5499ed04fab0f7d0775b0df148faa820</t>
  </si>
  <si>
    <t>Maharashtra</t>
  </si>
  <si>
    <t>Mumbai, Maharashtra</t>
  </si>
  <si>
    <t>Mumbai</t>
  </si>
  <si>
    <t>867f4434124bdbc434224c0b931277f8db56407d3fda43ad432a590b9a71b9f8</t>
  </si>
  <si>
    <t>Beirut Governorate</t>
  </si>
  <si>
    <t>Beirut, Beirut Governorate</t>
  </si>
  <si>
    <t>Beirut</t>
  </si>
  <si>
    <t>cfb6175ba06696e81f4e831e87cb022b6dccd67b3eeb8ff55a1f9750ebb0d67a</t>
  </si>
  <si>
    <t>Lahore, Punjab</t>
  </si>
  <si>
    <t>Lahore</t>
  </si>
  <si>
    <t>e87888ab4e01ddc50846ca318c409fa10e2ec6a39035938f00a90154529186e0</t>
  </si>
  <si>
    <t>New York</t>
  </si>
  <si>
    <t>New York, New York</t>
  </si>
  <si>
    <t>7f6aa5ef6c4357538b3502afee902b340a1017d78c5323754601d50a94d4e989</t>
  </si>
  <si>
    <t>Lagos State</t>
  </si>
  <si>
    <t>Lagos, Lagos State</t>
  </si>
  <si>
    <t>Lagos</t>
  </si>
  <si>
    <t>b41126591f323cb0bcea3ce64f283d2ee2c265021ee2aa1058d7f498ff123487</t>
  </si>
  <si>
    <t>New South Wales</t>
  </si>
  <si>
    <t>Sydney, New South Wales</t>
  </si>
  <si>
    <t>Sydney</t>
  </si>
  <si>
    <t>aa5ed243607ad224b9cc54c21ee02d89ff96e2c7f8802e5cf4d3f259bd0d993c</t>
  </si>
  <si>
    <t>Toronto, Ontario</t>
  </si>
  <si>
    <t>Toronto</t>
  </si>
  <si>
    <t>eb2fd47f60922b05214e94b836a8df1fa0ddcacac92244ffd771d6a01570dedc</t>
  </si>
  <si>
    <t>Sindh</t>
  </si>
  <si>
    <t>Karachi, Sindh</t>
  </si>
  <si>
    <t>Karachi</t>
  </si>
  <si>
    <t>0f64dabf0f0f427713f5d3e265fa0a18e672a1d1d88385a193a594e810ff6af1</t>
  </si>
  <si>
    <t>Victoria</t>
  </si>
  <si>
    <t>Melbourne, Victoria</t>
  </si>
  <si>
    <t>Melbourne</t>
  </si>
  <si>
    <t>4559a77724e298d8bc2be555b3d355844505c3cb944bfea1daa377a985e9174b</t>
  </si>
  <si>
    <t>Nairobi</t>
  </si>
  <si>
    <t>Nairobi, Nairobi</t>
  </si>
  <si>
    <t>1d9a66df467e84e041107587a099335c38717e02df0e933aec38e59007aa4dc4</t>
  </si>
  <si>
    <t>Cairo Governorate</t>
  </si>
  <si>
    <t>Cairo, Cairo Governorate</t>
  </si>
  <si>
    <t>Cairo</t>
  </si>
  <si>
    <t>475676bb4b3047042f6752fe80e02b70150c6a2d7a098e0840c40eacb0f80a09</t>
  </si>
  <si>
    <t>Western Cape</t>
  </si>
  <si>
    <t>Cape Town, Western Cape</t>
  </si>
  <si>
    <t>Cape Town</t>
  </si>
  <si>
    <t>428bd4a7e8e33602f1257dc912af6c39cde579760fefe59d2f5d4a34e14fc15b</t>
  </si>
  <si>
    <t>London, England</t>
  </si>
  <si>
    <t>London</t>
  </si>
  <si>
    <t>Area</t>
  </si>
  <si>
    <t>Area &amp; city</t>
  </si>
  <si>
    <t>City</t>
  </si>
  <si>
    <t>35cb45fa8b3d0d66234aa189baa3348e15ba0aba95ad391256b77cc505460702</t>
  </si>
  <si>
    <t>10170646555075501</t>
  </si>
  <si>
    <t>Instagram Post Engagement'!A1:K62</t>
  </si>
  <si>
    <t>{}</t>
  </si>
  <si>
    <t>["MERGE_RESULTS","BLANKS_TO_ZERO"]</t>
  </si>
  <si>
    <t>date_desc;2nd:media_id_desc</t>
  </si>
  <si>
    <t>[]</t>
  </si>
  <si>
    <t>["date","media_id","media_caption","media_product_type"]</t>
  </si>
  <si>
    <t>["media_impressions","media_reach","media_like_count","media_comments_count","media_shares","media_saved","media_video_views"]</t>
  </si>
  <si>
    <t>["17841461346273480`Hannah Strong"]</t>
  </si>
  <si>
    <t>last28weeks</t>
  </si>
  <si>
    <t>IGI</t>
  </si>
  <si>
    <t>TABLE</t>
  </si>
  <si>
    <t>Refreshed successfully by trigger L19C0Tg1Z_gTM5EWKWc-1MYSAEewpw</t>
  </si>
  <si>
    <t>SkbmV9BtudScLBteNfKWkajssXhVys</t>
  </si>
  <si>
    <t>0211572720733b7b54aa69f77f91ad570cd24ebea4d99c5f821625abcbef44a5</t>
  </si>
  <si>
    <t>Instagram Top Cities Regions'!A1:D51</t>
  </si>
  <si>
    <t>followers_count_desc;2nd:audience_city_dim_desc</t>
  </si>
  <si>
    <t>["audience_city_only_dim","audience_city_dim","audience_area_only_dim"]</t>
  </si>
  <si>
    <t>["followers_count"]</t>
  </si>
  <si>
    <t>last365days</t>
  </si>
  <si>
    <t>ksYj9BGSguKMXWGS7GQDKCnAMVzA57</t>
  </si>
  <si>
    <t>e97b847389729db821d9b30fb1984dcf0364eb718d63297023a60a4f21c2dde1</t>
  </si>
  <si>
    <t>Instagram Age Gender Demographics'!A1:C22</t>
  </si>
  <si>
    <t>followers_count_desc;2nd:audience_gender_desc</t>
  </si>
  <si>
    <t>["audience_gender","audience_age"]</t>
  </si>
  <si>
    <t>vEcXfrw7XizjEaUcUa9j987sreKKnQ</t>
  </si>
  <si>
    <t>d7d1771e4571f30b4b3c07c64ec6cef5ff29dd647c87d1cf6702993cf0532fe9</t>
  </si>
  <si>
    <t>Instagram Profile Overview'!A1:H380</t>
  </si>
  <si>
    <t>["BLANKS_TO_ZERO","MERGE_RESULTS","ALLOW_SUM_UNIQUE"]</t>
  </si>
  <si>
    <t>date_desc;2nd:impressions_desc</t>
  </si>
  <si>
    <t>["date"]</t>
  </si>
  <si>
    <t>["impressions","media_shares","media_engagement","media_profile_visits","reach","media_reel_shares","follower_count"]</t>
  </si>
  <si>
    <t>last28days</t>
  </si>
  <si>
    <t>GDj5YnERaSbcMsLXGnWBLfWz8C8rMn</t>
  </si>
  <si>
    <t>ffd90b165ba44e459a5ac7361ee607f641cca3b97ca0e7402f478c7a1cfb739f</t>
  </si>
  <si>
    <t>refreshButtonNumber</t>
  </si>
  <si>
    <t>metaDataToUser</t>
  </si>
  <si>
    <t>authUser</t>
  </si>
  <si>
    <t>condform</t>
  </si>
  <si>
    <t>sortMZ</t>
  </si>
  <si>
    <t>scopeMZ</t>
  </si>
  <si>
    <t>rt</t>
  </si>
  <si>
    <t>rangeAddressStatic</t>
  </si>
  <si>
    <t>db_name</t>
  </si>
  <si>
    <t>sql</t>
  </si>
  <si>
    <t>sds_tolang</t>
  </si>
  <si>
    <t>sds_lang</t>
  </si>
  <si>
    <t>sds_result_type</t>
  </si>
  <si>
    <t>otherParams</t>
  </si>
  <si>
    <t>specialSettings</t>
  </si>
  <si>
    <t>maxCategories</t>
  </si>
  <si>
    <t>maxResults</t>
  </si>
  <si>
    <t>sort</t>
  </si>
  <si>
    <t>segment</t>
  </si>
  <si>
    <t>filterArr</t>
  </si>
  <si>
    <t>sd</t>
  </si>
  <si>
    <t>dimensions</t>
  </si>
  <si>
    <t>metrics</t>
  </si>
  <si>
    <t>profiles</t>
  </si>
  <si>
    <t>cvt</t>
  </si>
  <si>
    <t>comp</t>
  </si>
  <si>
    <t>endDateString</t>
  </si>
  <si>
    <t>startDateString</t>
  </si>
  <si>
    <t>dateRangeType</t>
  </si>
  <si>
    <t>dataSource</t>
  </si>
  <si>
    <t>linkedChartID</t>
  </si>
  <si>
    <t>objType</t>
  </si>
  <si>
    <t>runtime_sec</t>
  </si>
  <si>
    <t>sampled</t>
  </si>
  <si>
    <t>lastqueryID</t>
  </si>
  <si>
    <t>lastStatus</t>
  </si>
  <si>
    <t>updated</t>
  </si>
  <si>
    <t>created</t>
  </si>
  <si>
    <t>rangeAddress</t>
  </si>
  <si>
    <t>sheetName</t>
  </si>
  <si>
    <t>ssID</t>
  </si>
  <si>
    <t>paramsID</t>
  </si>
  <si>
    <t>cc472a36feef75407a867c5bf62825eac128eaf083695d3fc13e4bdeca0d3ba0</t>
  </si>
  <si>
    <t>Refresh button number</t>
  </si>
  <si>
    <t>Returned data</t>
  </si>
  <si>
    <t>Refresh with user account</t>
  </si>
  <si>
    <t>Highlight with colour</t>
  </si>
  <si>
    <t>Report type</t>
  </si>
  <si>
    <t>Range address (static)</t>
  </si>
  <si>
    <t>Database name</t>
  </si>
  <si>
    <t>SQL</t>
  </si>
  <si>
    <t>Translate to</t>
  </si>
  <si>
    <t>Language/country</t>
  </si>
  <si>
    <t>Result type</t>
  </si>
  <si>
    <t>Other parameters</t>
  </si>
  <si>
    <t>Special settings</t>
  </si>
  <si>
    <t>Max pivot categories</t>
  </si>
  <si>
    <t>Max rows</t>
  </si>
  <si>
    <t>Sort</t>
  </si>
  <si>
    <t>Segment ID</t>
  </si>
  <si>
    <t>Filters</t>
  </si>
  <si>
    <t>Pivot dimensions</t>
  </si>
  <si>
    <t>Dimensions</t>
  </si>
  <si>
    <t>Metrics</t>
  </si>
  <si>
    <t>Accounts/views</t>
  </si>
  <si>
    <t>Comparison value type</t>
  </si>
  <si>
    <t>Compare to</t>
  </si>
  <si>
    <t>End date</t>
  </si>
  <si>
    <t>Start date</t>
  </si>
  <si>
    <t>Date range type</t>
  </si>
  <si>
    <t>Data source</t>
  </si>
  <si>
    <t>Linked chart ID</t>
  </si>
  <si>
    <t>Object type</t>
  </si>
  <si>
    <t>Execution time (sec)</t>
  </si>
  <si>
    <t>Results contain sampled data</t>
  </si>
  <si>
    <t>Last refresh ID</t>
  </si>
  <si>
    <t>Last status</t>
  </si>
  <si>
    <t>Updated</t>
  </si>
  <si>
    <t>Created</t>
  </si>
  <si>
    <t>Range address</t>
  </si>
  <si>
    <t>Sheet name</t>
  </si>
  <si>
    <t>Query ID</t>
  </si>
  <si>
    <t>5acbd8048d53d1aa8fcbaacb57506e7eb6a1f570d93c899bd97f899f535f7ce9</t>
  </si>
  <si>
    <t>09d263c4c0f2918ac5154624a1df0a6ef181cff42b5554cb985bb7dd9f3831c5</t>
  </si>
  <si>
    <t>Don't delete or rename this sheet. If you delete or rename it, your existing queries can no longer be refreshed. Hiding the sheet is OK. Also, don't delete any rows above row 21.</t>
  </si>
  <si>
    <t>9cb8a4386a1caf639bd106fe1cdb5751a64fa0b1a4d79e13ee399b0d0d9888c8</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</si>
  <si>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</si>
  <si>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16dacdf47f54322da67967b592b2ce607344d6d4a694a275a1e57ec88a1dcaa3</t>
  </si>
  <si>
    <t>3. Add new queries: type a range address and query parameters, leave the query ID empty. The query will be added when you run a refresh. (Of course, it's much easier to use the sidebar to add new queries.)</t>
  </si>
  <si>
    <t>458e1b9a130915b3b90d891f724ddac49b1c7988fb870a433fc26e8f937f6e93</t>
  </si>
  <si>
    <t>Europe/London</t>
  </si>
  <si>
    <t>2. Remove a query by deleting its row</t>
  </si>
  <si>
    <t>46ec689d0805babc0018ef9d46146d14a32f01234685929f2cc97e298430f284</t>
  </si>
  <si>
    <t>1. Modify the parameters of a query. Any changes will be visible when you run a refresh.</t>
  </si>
  <si>
    <t>7127462e960991cb8aedf1b1b2d95635d7e5cbc156c627d3ab908c1e53dc4ecf</t>
  </si>
  <si>
    <t>On this sheet you can:</t>
  </si>
  <si>
    <t>5596902c3dd3e376bfabc7e8f3f6093bda2cab5c0ef28423fa4e7e6c0ed3695d</t>
  </si>
  <si>
    <t>efee96c732d037c319d3f73c81b12b0dc9aa33a84cbd06865cebaa085581f76b</t>
  </si>
  <si>
    <t>All the queries created by Supermetrics are stored here, each in its own row.</t>
  </si>
  <si>
    <t>column_48</t>
  </si>
  <si>
    <t>column_47</t>
  </si>
  <si>
    <t>column_46</t>
  </si>
  <si>
    <t>column_45</t>
  </si>
  <si>
    <t>column_44</t>
  </si>
  <si>
    <t>column_43</t>
  </si>
  <si>
    <t>column_42</t>
  </si>
  <si>
    <t>column_41</t>
  </si>
  <si>
    <t>column_40</t>
  </si>
  <si>
    <t>column_39</t>
  </si>
  <si>
    <t>column_38</t>
  </si>
  <si>
    <t>column_37</t>
  </si>
  <si>
    <t>column_36</t>
  </si>
  <si>
    <t>column_35</t>
  </si>
  <si>
    <t>column_34</t>
  </si>
  <si>
    <t>column_33</t>
  </si>
  <si>
    <t>column_32</t>
  </si>
  <si>
    <t>column_31</t>
  </si>
  <si>
    <t>column_30</t>
  </si>
  <si>
    <t>column_29</t>
  </si>
  <si>
    <t>column_28</t>
  </si>
  <si>
    <t>column_27</t>
  </si>
  <si>
    <t>column_26</t>
  </si>
  <si>
    <t>column_25</t>
  </si>
  <si>
    <t>column_24</t>
  </si>
  <si>
    <t>column_23</t>
  </si>
  <si>
    <t>column_22</t>
  </si>
  <si>
    <t>column_21</t>
  </si>
  <si>
    <t>column_20</t>
  </si>
  <si>
    <t>column_19</t>
  </si>
  <si>
    <t>column_18</t>
  </si>
  <si>
    <t>column_17</t>
  </si>
  <si>
    <t>column_16</t>
  </si>
  <si>
    <t>column_15</t>
  </si>
  <si>
    <t>column_14</t>
  </si>
  <si>
    <t>column_13</t>
  </si>
  <si>
    <t>column_12</t>
  </si>
  <si>
    <t>column_11</t>
  </si>
  <si>
    <t>column_10</t>
  </si>
  <si>
    <t>column_9</t>
  </si>
  <si>
    <t>column_8</t>
  </si>
  <si>
    <t>column_7</t>
  </si>
  <si>
    <t>column_6</t>
  </si>
  <si>
    <t>column_5</t>
  </si>
  <si>
    <t>column_4</t>
  </si>
  <si>
    <t>column_3</t>
  </si>
  <si>
    <t>column_2</t>
  </si>
  <si>
    <t>column_1</t>
  </si>
  <si>
    <t>Supermetrics_Queries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</si>
</sst>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numFmts>
  <fonts count="8" x14ac:knownFonts="1">
    <font>
      <sz val="11"/>
      <color theme="1"/>
      <name val="Calibri"/>
      <family val="2"/>
      <scheme val="minor"/>
    </font>
    <font>
      <sz val="10"/>
      <color rgb="FF000000"/>
      <name val="Calibri"/>
      <scheme val="minor"/>
    </font>
    <font>
      <sz val="10"/>
      <color theme="1"/>
      <name val="Calibri"/>
      <scheme val="minor"/>
    </font>
    <font>
      <sz val="10"/>
      <color rgb="FF008000"/>
      <name val="Calibri"/>
      <scheme val="minor"/>
    </font>
    <font>
      <b/>
      <sz val="10"/>
      <color theme="1"/>
      <name val="Calibri"/>
      <scheme val="minor"/>
    </font>
    <font>
      <sz val="10"/>
      <color rgb="FFFFFFFF"/>
      <name val="Calibri"/>
      <scheme val="minor"/>
    </font>
    <font>
      <sz val="10"/>
      <color rgb="FFEEEEEE"/>
      <name val="Calibri"/>
      <scheme val="minor"/>
    </font>
    <font>
      <b/>
      <sz val="20"/>
      <color theme="1"/>
      <name val="Calibri"/>
      <scheme val="minor"/>
    </font>
  </fonts>
  <fills count="3">
    <fill>
      <patternFill patternType="none"/>
    </fill>
    <fill>
      <patternFill patternType="gray125"/>
    </fill>
    <fill>
      <patternFill patternType="solid">
        <fgColor rgb="FFC9DAF8"/>
        <bgColor rgb="FFC9DAF8"/>
      </patternFill>
    </fill>
  </fills>
  <borders count="1">
    <border>
      <left/>
      <right/>
      <top/>
      <bottom/>
      <diagonal/>
    </border>
  </borders>
  <cellStyleXfs count="2">
    <xf numFmtId="0" fontId="0" fillId="0" borderId="0"/>
    <xf numFmtId="0" fontId="1" fillId="0" borderId="0"/>
  </cellStyleXfs>
  <cellXfs count="17">
    <xf numFmtId="0" fontId="0" fillId="0" borderId="0" xfId="0"/>
    <xf numFmtId="0" fontId="1" fillId="0" borderId="0" xfId="1"/>
    <xf numFmtId="1" fontId="2" fillId="0" borderId="0" xfId="1" applyNumberFormat="1" applyFont="1"/>
    <xf numFmtId="14" fontId="2" fillId="0" borderId="0" xfId="1" applyNumberFormat="1" applyFont="1"/>
    <xf numFmtId="0" fontId="2" fillId="0" borderId="0" xfId="1" applyFont="1"/>
    <xf numFmtId="49" fontId="2" fillId="0" borderId="0" xfId="1" applyNumberFormat="1" applyFont="1"/>
    <xf numFmtId="0" fontId="1" fillId="0" borderId="0" xfId="1" quotePrefix="1"/>
    <xf numFmtId="0" fontId="3" fillId="0" borderId="0" xfId="1" applyFont="1"/>
    <xf numFmtId="164" fontId="1" fillId="0" borderId="0" xfId="1" applyNumberFormat="1"/>
    <xf numFmtId="165" fontId="1" fillId="0" borderId="0" xfId="1" applyNumberFormat="1"/>
    <xf numFmtId="0" fontId="4" fillId="2" borderId="0" xfId="1" applyFont="1" applyFill="1"/>
    <xf numFmtId="0" fontId="1" fillId="0" borderId="0" xfId="1"/>
    <xf numFmtId="0" fontId="2" fillId="0" borderId="0" xfId="1" applyFont="1" applyAlignment="1">
      <alignment vertical="top" wrapText="1"/>
    </xf>
    <xf numFmtId="0" fontId="5" fillId="0" borderId="0" xfId="1" applyFont="1"/>
    <xf numFmtId="0" fontId="6" fillId="0" borderId="0" xfId="1" applyFont="1"/>
    <xf numFmtId="0" fontId="2" fillId="0" borderId="0" xfId="1" applyFont="1" applyAlignment="1">
      <alignment vertical="top"/>
    </xf>
    <xf numFmtId="0" fontId="7" fillId="0" borderId="0" xfId="1" applyFont="1"/>
  </cellXfs>
  <cellStyles count="2">
    <cellStyle name="Normal" xfId="0" builtinId="0"/>
    <cellStyle name="Normal 2" xfId="1" xr:uid="{258E4840-9E95-46E7-9379-EE23E0E558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DELL/Desktop/Copy%20of%20Instagram_Analytics%20-%20DO%20NOT%20DELETE%20(for%20interview%20purpos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agram Profile Overview"/>
      <sheetName val="Instagram Post Engagement"/>
      <sheetName val="Instagram Age Gender Demographi"/>
      <sheetName val="SupermetricsQueries (2)"/>
      <sheetName val="SupermetricsQueries"/>
    </sheetNames>
    <sheetDataSet>
      <sheetData sheetId="0">
        <row r="1">
          <cell r="A1" t="str">
            <v>Date</v>
          </cell>
          <cell r="B1" t="str">
            <v>Profile impressions</v>
          </cell>
          <cell r="C1" t="str">
            <v>Shares</v>
          </cell>
          <cell r="D1" t="str">
            <v>Engagement</v>
          </cell>
          <cell r="E1" t="str">
            <v>Profile visits</v>
          </cell>
          <cell r="F1" t="str">
            <v>Profile reach</v>
          </cell>
          <cell r="G1" t="str">
            <v>Reel shares</v>
          </cell>
          <cell r="H1" t="str">
            <v>New followers</v>
          </cell>
        </row>
        <row r="2">
          <cell r="A2">
            <v>45718</v>
          </cell>
          <cell r="B2">
            <v>83</v>
          </cell>
          <cell r="C2">
            <v>0</v>
          </cell>
          <cell r="D2">
            <v>0</v>
          </cell>
          <cell r="E2">
            <v>0</v>
          </cell>
          <cell r="F2">
            <v>71</v>
          </cell>
          <cell r="G2">
            <v>0</v>
          </cell>
          <cell r="H2">
            <v>0</v>
          </cell>
        </row>
        <row r="3">
          <cell r="A3">
            <v>45717</v>
          </cell>
          <cell r="B3">
            <v>109</v>
          </cell>
          <cell r="C3">
            <v>0</v>
          </cell>
          <cell r="D3">
            <v>0</v>
          </cell>
          <cell r="E3">
            <v>0</v>
          </cell>
          <cell r="F3">
            <v>82</v>
          </cell>
          <cell r="G3">
            <v>0</v>
          </cell>
          <cell r="H3">
            <v>0</v>
          </cell>
        </row>
        <row r="4">
          <cell r="A4">
            <v>45716</v>
          </cell>
          <cell r="B4">
            <v>108</v>
          </cell>
          <cell r="C4">
            <v>0</v>
          </cell>
          <cell r="D4">
            <v>0</v>
          </cell>
          <cell r="E4">
            <v>0</v>
          </cell>
          <cell r="F4">
            <v>59</v>
          </cell>
          <cell r="G4">
            <v>0</v>
          </cell>
          <cell r="H4">
            <v>0</v>
          </cell>
        </row>
        <row r="5">
          <cell r="A5">
            <v>45715</v>
          </cell>
          <cell r="B5">
            <v>82</v>
          </cell>
          <cell r="C5">
            <v>0</v>
          </cell>
          <cell r="D5">
            <v>0</v>
          </cell>
          <cell r="E5">
            <v>0</v>
          </cell>
          <cell r="F5">
            <v>45</v>
          </cell>
          <cell r="G5">
            <v>0</v>
          </cell>
          <cell r="H5">
            <v>19</v>
          </cell>
        </row>
        <row r="6">
          <cell r="A6">
            <v>45714</v>
          </cell>
          <cell r="B6">
            <v>88</v>
          </cell>
          <cell r="C6">
            <v>0</v>
          </cell>
          <cell r="D6">
            <v>0</v>
          </cell>
          <cell r="E6">
            <v>0</v>
          </cell>
          <cell r="F6">
            <v>49</v>
          </cell>
          <cell r="G6">
            <v>0</v>
          </cell>
          <cell r="H6">
            <v>3</v>
          </cell>
        </row>
        <row r="7">
          <cell r="A7">
            <v>45713</v>
          </cell>
          <cell r="B7">
            <v>129</v>
          </cell>
          <cell r="C7">
            <v>0</v>
          </cell>
          <cell r="D7">
            <v>0</v>
          </cell>
          <cell r="E7">
            <v>0</v>
          </cell>
          <cell r="F7">
            <v>63</v>
          </cell>
          <cell r="G7">
            <v>0</v>
          </cell>
          <cell r="H7">
            <v>2</v>
          </cell>
        </row>
        <row r="8">
          <cell r="A8">
            <v>45712</v>
          </cell>
          <cell r="B8">
            <v>239</v>
          </cell>
          <cell r="C8">
            <v>0</v>
          </cell>
          <cell r="D8">
            <v>0</v>
          </cell>
          <cell r="E8">
            <v>0</v>
          </cell>
          <cell r="F8">
            <v>160</v>
          </cell>
          <cell r="G8">
            <v>0</v>
          </cell>
          <cell r="H8">
            <v>2</v>
          </cell>
        </row>
        <row r="9">
          <cell r="A9">
            <v>45711</v>
          </cell>
          <cell r="B9">
            <v>218</v>
          </cell>
          <cell r="C9">
            <v>0</v>
          </cell>
          <cell r="D9">
            <v>0</v>
          </cell>
          <cell r="E9">
            <v>0</v>
          </cell>
          <cell r="F9">
            <v>125</v>
          </cell>
          <cell r="G9">
            <v>0</v>
          </cell>
          <cell r="H9">
            <v>6</v>
          </cell>
        </row>
        <row r="10">
          <cell r="A10">
            <v>45710</v>
          </cell>
          <cell r="B10">
            <v>112</v>
          </cell>
          <cell r="C10">
            <v>0</v>
          </cell>
          <cell r="D10">
            <v>0</v>
          </cell>
          <cell r="E10">
            <v>0</v>
          </cell>
          <cell r="F10">
            <v>61</v>
          </cell>
          <cell r="G10">
            <v>0</v>
          </cell>
          <cell r="H10">
            <v>5</v>
          </cell>
        </row>
        <row r="11">
          <cell r="A11">
            <v>45709</v>
          </cell>
          <cell r="B11">
            <v>235</v>
          </cell>
          <cell r="C11">
            <v>0</v>
          </cell>
          <cell r="D11">
            <v>0</v>
          </cell>
          <cell r="E11">
            <v>0</v>
          </cell>
          <cell r="F11">
            <v>213</v>
          </cell>
          <cell r="G11">
            <v>0</v>
          </cell>
          <cell r="H11">
            <v>9</v>
          </cell>
        </row>
        <row r="12">
          <cell r="A12">
            <v>45708</v>
          </cell>
          <cell r="B12">
            <v>275</v>
          </cell>
          <cell r="C12">
            <v>0</v>
          </cell>
          <cell r="D12">
            <v>0</v>
          </cell>
          <cell r="E12">
            <v>0</v>
          </cell>
          <cell r="F12">
            <v>244</v>
          </cell>
          <cell r="G12">
            <v>0</v>
          </cell>
          <cell r="H12">
            <v>3</v>
          </cell>
        </row>
        <row r="13">
          <cell r="A13">
            <v>45707</v>
          </cell>
          <cell r="B13">
            <v>147</v>
          </cell>
          <cell r="C13">
            <v>0</v>
          </cell>
          <cell r="D13">
            <v>0</v>
          </cell>
          <cell r="E13">
            <v>0</v>
          </cell>
          <cell r="F13">
            <v>95</v>
          </cell>
          <cell r="G13">
            <v>0</v>
          </cell>
          <cell r="H13">
            <v>2</v>
          </cell>
        </row>
        <row r="14">
          <cell r="A14">
            <v>45706</v>
          </cell>
          <cell r="B14">
            <v>148</v>
          </cell>
          <cell r="C14">
            <v>0</v>
          </cell>
          <cell r="D14">
            <v>0</v>
          </cell>
          <cell r="E14">
            <v>0</v>
          </cell>
          <cell r="F14">
            <v>102</v>
          </cell>
          <cell r="G14">
            <v>0</v>
          </cell>
          <cell r="H14">
            <v>6</v>
          </cell>
        </row>
        <row r="15">
          <cell r="A15">
            <v>45705</v>
          </cell>
          <cell r="B15">
            <v>87</v>
          </cell>
          <cell r="C15">
            <v>0</v>
          </cell>
          <cell r="D15">
            <v>0</v>
          </cell>
          <cell r="E15">
            <v>0</v>
          </cell>
          <cell r="F15">
            <v>64</v>
          </cell>
          <cell r="G15">
            <v>0</v>
          </cell>
          <cell r="H15">
            <v>3</v>
          </cell>
        </row>
        <row r="16">
          <cell r="A16">
            <v>45704</v>
          </cell>
          <cell r="B16">
            <v>100</v>
          </cell>
          <cell r="C16">
            <v>0</v>
          </cell>
          <cell r="D16">
            <v>0</v>
          </cell>
          <cell r="E16">
            <v>0</v>
          </cell>
          <cell r="F16">
            <v>76</v>
          </cell>
          <cell r="G16">
            <v>0</v>
          </cell>
          <cell r="H16">
            <v>1</v>
          </cell>
        </row>
        <row r="17">
          <cell r="A17">
            <v>45703</v>
          </cell>
          <cell r="B17">
            <v>106</v>
          </cell>
          <cell r="C17">
            <v>0</v>
          </cell>
          <cell r="D17">
            <v>0</v>
          </cell>
          <cell r="E17">
            <v>0</v>
          </cell>
          <cell r="F17">
            <v>77</v>
          </cell>
          <cell r="G17">
            <v>0</v>
          </cell>
          <cell r="H17">
            <v>1</v>
          </cell>
        </row>
        <row r="18">
          <cell r="A18">
            <v>45702</v>
          </cell>
          <cell r="B18">
            <v>196</v>
          </cell>
          <cell r="C18">
            <v>0</v>
          </cell>
          <cell r="D18">
            <v>0</v>
          </cell>
          <cell r="E18">
            <v>0</v>
          </cell>
          <cell r="F18">
            <v>127</v>
          </cell>
          <cell r="G18">
            <v>0</v>
          </cell>
          <cell r="H18">
            <v>5</v>
          </cell>
        </row>
        <row r="19">
          <cell r="A19">
            <v>45701</v>
          </cell>
          <cell r="B19">
            <v>115</v>
          </cell>
          <cell r="C19">
            <v>0</v>
          </cell>
          <cell r="D19">
            <v>0</v>
          </cell>
          <cell r="E19">
            <v>0</v>
          </cell>
          <cell r="F19">
            <v>82</v>
          </cell>
          <cell r="G19">
            <v>0</v>
          </cell>
          <cell r="H19">
            <v>6</v>
          </cell>
        </row>
        <row r="20">
          <cell r="A20">
            <v>45700</v>
          </cell>
          <cell r="B20">
            <v>142</v>
          </cell>
          <cell r="C20">
            <v>0</v>
          </cell>
          <cell r="D20">
            <v>0</v>
          </cell>
          <cell r="E20">
            <v>0</v>
          </cell>
          <cell r="F20">
            <v>94</v>
          </cell>
          <cell r="G20">
            <v>0</v>
          </cell>
          <cell r="H20">
            <v>4</v>
          </cell>
        </row>
        <row r="21">
          <cell r="A21">
            <v>45699</v>
          </cell>
          <cell r="B21">
            <v>728</v>
          </cell>
          <cell r="C21">
            <v>0</v>
          </cell>
          <cell r="D21">
            <v>0</v>
          </cell>
          <cell r="E21">
            <v>0</v>
          </cell>
          <cell r="F21">
            <v>571</v>
          </cell>
          <cell r="G21">
            <v>0</v>
          </cell>
          <cell r="H21">
            <v>6</v>
          </cell>
        </row>
        <row r="22">
          <cell r="A22">
            <v>45698</v>
          </cell>
          <cell r="B22">
            <v>820</v>
          </cell>
          <cell r="C22">
            <v>0</v>
          </cell>
          <cell r="D22">
            <v>0</v>
          </cell>
          <cell r="E22">
            <v>0</v>
          </cell>
          <cell r="F22">
            <v>668</v>
          </cell>
          <cell r="G22">
            <v>0</v>
          </cell>
          <cell r="H22">
            <v>4</v>
          </cell>
        </row>
        <row r="23">
          <cell r="A23">
            <v>45697</v>
          </cell>
          <cell r="B23">
            <v>1142</v>
          </cell>
          <cell r="C23">
            <v>0</v>
          </cell>
          <cell r="D23">
            <v>0</v>
          </cell>
          <cell r="E23">
            <v>0</v>
          </cell>
          <cell r="F23">
            <v>710</v>
          </cell>
          <cell r="G23">
            <v>0</v>
          </cell>
          <cell r="H23">
            <v>10</v>
          </cell>
        </row>
        <row r="24">
          <cell r="A24">
            <v>45696</v>
          </cell>
          <cell r="B24">
            <v>833</v>
          </cell>
          <cell r="C24">
            <v>0</v>
          </cell>
          <cell r="D24">
            <v>0</v>
          </cell>
          <cell r="E24">
            <v>0</v>
          </cell>
          <cell r="F24">
            <v>632</v>
          </cell>
          <cell r="G24">
            <v>0</v>
          </cell>
          <cell r="H24">
            <v>4</v>
          </cell>
        </row>
        <row r="25">
          <cell r="A25">
            <v>45695</v>
          </cell>
          <cell r="B25">
            <v>822</v>
          </cell>
          <cell r="C25">
            <v>0</v>
          </cell>
          <cell r="D25">
            <v>0</v>
          </cell>
          <cell r="E25">
            <v>0</v>
          </cell>
          <cell r="F25">
            <v>676</v>
          </cell>
          <cell r="G25">
            <v>0</v>
          </cell>
          <cell r="H25">
            <v>8</v>
          </cell>
        </row>
        <row r="26">
          <cell r="A26">
            <v>45694</v>
          </cell>
          <cell r="B26">
            <v>835</v>
          </cell>
          <cell r="C26">
            <v>0</v>
          </cell>
          <cell r="D26">
            <v>0</v>
          </cell>
          <cell r="E26">
            <v>0</v>
          </cell>
          <cell r="F26">
            <v>612</v>
          </cell>
          <cell r="G26">
            <v>0</v>
          </cell>
          <cell r="H26">
            <v>3</v>
          </cell>
        </row>
        <row r="27">
          <cell r="A27">
            <v>45693</v>
          </cell>
          <cell r="B27">
            <v>895</v>
          </cell>
          <cell r="C27">
            <v>0</v>
          </cell>
          <cell r="D27">
            <v>0</v>
          </cell>
          <cell r="E27">
            <v>0</v>
          </cell>
          <cell r="F27">
            <v>743</v>
          </cell>
          <cell r="G27">
            <v>0</v>
          </cell>
          <cell r="H27">
            <v>8</v>
          </cell>
        </row>
        <row r="28">
          <cell r="A28">
            <v>45692</v>
          </cell>
          <cell r="B28">
            <v>567</v>
          </cell>
          <cell r="C28">
            <v>0</v>
          </cell>
          <cell r="D28">
            <v>0</v>
          </cell>
          <cell r="E28">
            <v>0</v>
          </cell>
          <cell r="F28">
            <v>445</v>
          </cell>
          <cell r="G28">
            <v>0</v>
          </cell>
          <cell r="H28">
            <v>4</v>
          </cell>
        </row>
        <row r="29">
          <cell r="A29">
            <v>45691</v>
          </cell>
          <cell r="B29">
            <v>1032</v>
          </cell>
          <cell r="C29">
            <v>0</v>
          </cell>
          <cell r="D29">
            <v>0</v>
          </cell>
          <cell r="E29">
            <v>0</v>
          </cell>
          <cell r="F29">
            <v>822</v>
          </cell>
          <cell r="G29">
            <v>0</v>
          </cell>
          <cell r="H29">
            <v>8</v>
          </cell>
        </row>
        <row r="30">
          <cell r="A30">
            <v>45690</v>
          </cell>
          <cell r="B30">
            <v>395</v>
          </cell>
          <cell r="C30">
            <v>0</v>
          </cell>
          <cell r="D30">
            <v>0</v>
          </cell>
          <cell r="E30">
            <v>0</v>
          </cell>
          <cell r="F30">
            <v>292</v>
          </cell>
          <cell r="G30">
            <v>0</v>
          </cell>
          <cell r="H30">
            <v>6</v>
          </cell>
        </row>
        <row r="31">
          <cell r="A31">
            <v>45689</v>
          </cell>
          <cell r="B31">
            <v>453</v>
          </cell>
          <cell r="C31">
            <v>0</v>
          </cell>
          <cell r="D31">
            <v>0</v>
          </cell>
          <cell r="E31">
            <v>0</v>
          </cell>
          <cell r="F31">
            <v>328</v>
          </cell>
          <cell r="G31">
            <v>0</v>
          </cell>
          <cell r="H31">
            <v>6</v>
          </cell>
        </row>
        <row r="32">
          <cell r="A32">
            <v>45688</v>
          </cell>
          <cell r="B32">
            <v>410</v>
          </cell>
          <cell r="C32">
            <v>0</v>
          </cell>
          <cell r="D32">
            <v>0</v>
          </cell>
          <cell r="E32">
            <v>0</v>
          </cell>
          <cell r="F32">
            <v>340</v>
          </cell>
          <cell r="G32">
            <v>0</v>
          </cell>
          <cell r="H32">
            <v>6</v>
          </cell>
        </row>
        <row r="33">
          <cell r="A33">
            <v>45687</v>
          </cell>
          <cell r="B33">
            <v>486</v>
          </cell>
          <cell r="C33">
            <v>0</v>
          </cell>
          <cell r="D33">
            <v>0</v>
          </cell>
          <cell r="E33">
            <v>0</v>
          </cell>
          <cell r="F33">
            <v>335</v>
          </cell>
          <cell r="G33">
            <v>0</v>
          </cell>
          <cell r="H33">
            <v>2</v>
          </cell>
        </row>
        <row r="34">
          <cell r="A34">
            <v>45686</v>
          </cell>
          <cell r="B34">
            <v>505</v>
          </cell>
          <cell r="C34">
            <v>0</v>
          </cell>
          <cell r="D34">
            <v>0</v>
          </cell>
          <cell r="E34">
            <v>0</v>
          </cell>
          <cell r="F34">
            <v>363</v>
          </cell>
          <cell r="G34">
            <v>0</v>
          </cell>
          <cell r="H34">
            <v>2</v>
          </cell>
        </row>
        <row r="35">
          <cell r="A35">
            <v>45685</v>
          </cell>
          <cell r="B35">
            <v>440</v>
          </cell>
          <cell r="C35">
            <v>0</v>
          </cell>
          <cell r="D35">
            <v>0</v>
          </cell>
          <cell r="E35">
            <v>0</v>
          </cell>
          <cell r="F35">
            <v>335</v>
          </cell>
          <cell r="G35">
            <v>0</v>
          </cell>
          <cell r="H35">
            <v>2</v>
          </cell>
        </row>
        <row r="36">
          <cell r="A36">
            <v>45684</v>
          </cell>
          <cell r="B36">
            <v>908</v>
          </cell>
          <cell r="C36">
            <v>0</v>
          </cell>
          <cell r="D36">
            <v>0</v>
          </cell>
          <cell r="E36">
            <v>0</v>
          </cell>
          <cell r="F36">
            <v>721</v>
          </cell>
          <cell r="G36">
            <v>0</v>
          </cell>
          <cell r="H36">
            <v>10</v>
          </cell>
        </row>
        <row r="37">
          <cell r="A37">
            <v>45683</v>
          </cell>
          <cell r="B37">
            <v>946</v>
          </cell>
          <cell r="C37">
            <v>0</v>
          </cell>
          <cell r="D37">
            <v>0</v>
          </cell>
          <cell r="E37">
            <v>0</v>
          </cell>
          <cell r="F37">
            <v>751</v>
          </cell>
          <cell r="G37">
            <v>0</v>
          </cell>
          <cell r="H37">
            <v>12</v>
          </cell>
        </row>
        <row r="38">
          <cell r="A38">
            <v>45682</v>
          </cell>
          <cell r="B38">
            <v>929</v>
          </cell>
          <cell r="C38">
            <v>0</v>
          </cell>
          <cell r="D38">
            <v>0</v>
          </cell>
          <cell r="E38">
            <v>0</v>
          </cell>
          <cell r="F38">
            <v>572</v>
          </cell>
          <cell r="G38">
            <v>0</v>
          </cell>
          <cell r="H38">
            <v>5</v>
          </cell>
        </row>
        <row r="39">
          <cell r="A39">
            <v>45681</v>
          </cell>
          <cell r="B39">
            <v>633</v>
          </cell>
          <cell r="C39">
            <v>0</v>
          </cell>
          <cell r="D39">
            <v>0</v>
          </cell>
          <cell r="E39">
            <v>0</v>
          </cell>
          <cell r="F39">
            <v>485</v>
          </cell>
          <cell r="G39">
            <v>0</v>
          </cell>
          <cell r="H39">
            <v>7</v>
          </cell>
        </row>
        <row r="40">
          <cell r="A40">
            <v>45680</v>
          </cell>
          <cell r="B40">
            <v>735</v>
          </cell>
          <cell r="C40">
            <v>0</v>
          </cell>
          <cell r="D40">
            <v>0</v>
          </cell>
          <cell r="E40">
            <v>0</v>
          </cell>
          <cell r="F40">
            <v>579</v>
          </cell>
          <cell r="G40">
            <v>0</v>
          </cell>
          <cell r="H40">
            <v>4</v>
          </cell>
        </row>
        <row r="41">
          <cell r="A41">
            <v>45679</v>
          </cell>
          <cell r="B41">
            <v>919</v>
          </cell>
          <cell r="C41">
            <v>0</v>
          </cell>
          <cell r="D41">
            <v>0</v>
          </cell>
          <cell r="E41">
            <v>0</v>
          </cell>
          <cell r="F41">
            <v>756</v>
          </cell>
          <cell r="G41">
            <v>0</v>
          </cell>
        </row>
        <row r="42">
          <cell r="A42">
            <v>45678</v>
          </cell>
          <cell r="B42">
            <v>653</v>
          </cell>
          <cell r="C42">
            <v>0</v>
          </cell>
          <cell r="D42">
            <v>0</v>
          </cell>
          <cell r="E42">
            <v>0</v>
          </cell>
          <cell r="F42">
            <v>517</v>
          </cell>
          <cell r="G42">
            <v>0</v>
          </cell>
        </row>
        <row r="43">
          <cell r="A43">
            <v>45677</v>
          </cell>
          <cell r="B43">
            <v>13141</v>
          </cell>
          <cell r="C43">
            <v>0</v>
          </cell>
          <cell r="D43">
            <v>0</v>
          </cell>
          <cell r="E43">
            <v>0</v>
          </cell>
          <cell r="F43">
            <v>10913</v>
          </cell>
          <cell r="G43">
            <v>0</v>
          </cell>
        </row>
        <row r="44">
          <cell r="A44">
            <v>45676</v>
          </cell>
          <cell r="B44">
            <v>25998</v>
          </cell>
          <cell r="C44">
            <v>1</v>
          </cell>
          <cell r="D44">
            <v>19</v>
          </cell>
          <cell r="E44">
            <v>7</v>
          </cell>
          <cell r="F44">
            <v>20926</v>
          </cell>
          <cell r="G44">
            <v>0</v>
          </cell>
        </row>
        <row r="45">
          <cell r="A45">
            <v>45675</v>
          </cell>
          <cell r="B45">
            <v>22687</v>
          </cell>
          <cell r="C45">
            <v>0</v>
          </cell>
          <cell r="D45">
            <v>10</v>
          </cell>
          <cell r="E45">
            <v>3</v>
          </cell>
          <cell r="F45">
            <v>18220</v>
          </cell>
          <cell r="G45">
            <v>0</v>
          </cell>
        </row>
        <row r="46">
          <cell r="A46">
            <v>45674</v>
          </cell>
          <cell r="B46">
            <v>17280</v>
          </cell>
          <cell r="C46">
            <v>0</v>
          </cell>
          <cell r="D46">
            <v>51</v>
          </cell>
          <cell r="E46">
            <v>0</v>
          </cell>
          <cell r="F46">
            <v>14131</v>
          </cell>
          <cell r="G46">
            <v>0</v>
          </cell>
        </row>
        <row r="47">
          <cell r="A47">
            <v>45673</v>
          </cell>
          <cell r="B47">
            <v>13326</v>
          </cell>
          <cell r="C47">
            <v>1</v>
          </cell>
          <cell r="D47">
            <v>47</v>
          </cell>
          <cell r="E47">
            <v>0</v>
          </cell>
          <cell r="F47">
            <v>10988</v>
          </cell>
          <cell r="G47">
            <v>1</v>
          </cell>
        </row>
        <row r="48">
          <cell r="A48">
            <v>45672</v>
          </cell>
          <cell r="B48">
            <v>14754</v>
          </cell>
          <cell r="C48">
            <v>1</v>
          </cell>
          <cell r="D48">
            <v>16</v>
          </cell>
          <cell r="E48">
            <v>0</v>
          </cell>
          <cell r="F48">
            <v>11721</v>
          </cell>
          <cell r="G48">
            <v>1</v>
          </cell>
        </row>
        <row r="49">
          <cell r="A49">
            <v>45671</v>
          </cell>
          <cell r="B49">
            <v>21200</v>
          </cell>
          <cell r="C49">
            <v>0</v>
          </cell>
          <cell r="D49">
            <v>137</v>
          </cell>
          <cell r="E49">
            <v>0</v>
          </cell>
          <cell r="F49">
            <v>17062</v>
          </cell>
          <cell r="G49">
            <v>0</v>
          </cell>
        </row>
        <row r="50">
          <cell r="A50">
            <v>45670</v>
          </cell>
          <cell r="B50">
            <v>15685</v>
          </cell>
          <cell r="C50">
            <v>0</v>
          </cell>
          <cell r="D50">
            <v>82</v>
          </cell>
          <cell r="E50">
            <v>0</v>
          </cell>
          <cell r="F50">
            <v>12608</v>
          </cell>
          <cell r="G50">
            <v>0</v>
          </cell>
        </row>
        <row r="51">
          <cell r="A51">
            <v>45669</v>
          </cell>
          <cell r="B51">
            <v>16258</v>
          </cell>
          <cell r="C51">
            <v>0</v>
          </cell>
          <cell r="D51">
            <v>13</v>
          </cell>
          <cell r="E51">
            <v>0</v>
          </cell>
          <cell r="F51">
            <v>13742</v>
          </cell>
          <cell r="G51">
            <v>0</v>
          </cell>
        </row>
        <row r="52">
          <cell r="A52">
            <v>45668</v>
          </cell>
          <cell r="B52">
            <v>12562</v>
          </cell>
          <cell r="C52">
            <v>0</v>
          </cell>
          <cell r="D52">
            <v>34</v>
          </cell>
          <cell r="E52">
            <v>3</v>
          </cell>
          <cell r="F52">
            <v>9926</v>
          </cell>
          <cell r="G52">
            <v>0</v>
          </cell>
        </row>
        <row r="53">
          <cell r="A53">
            <v>45667</v>
          </cell>
          <cell r="B53">
            <v>13603</v>
          </cell>
          <cell r="C53">
            <v>0</v>
          </cell>
          <cell r="D53">
            <v>43</v>
          </cell>
          <cell r="E53">
            <v>0</v>
          </cell>
          <cell r="F53">
            <v>11545</v>
          </cell>
          <cell r="G53">
            <v>0</v>
          </cell>
        </row>
        <row r="54">
          <cell r="A54">
            <v>45666</v>
          </cell>
          <cell r="B54">
            <v>14426</v>
          </cell>
          <cell r="C54">
            <v>1</v>
          </cell>
          <cell r="D54">
            <v>31</v>
          </cell>
          <cell r="E54">
            <v>0</v>
          </cell>
          <cell r="F54">
            <v>11615</v>
          </cell>
          <cell r="G54">
            <v>1</v>
          </cell>
        </row>
        <row r="55">
          <cell r="A55">
            <v>45665</v>
          </cell>
          <cell r="B55">
            <v>14363</v>
          </cell>
          <cell r="C55">
            <v>0</v>
          </cell>
          <cell r="D55">
            <v>50</v>
          </cell>
          <cell r="E55">
            <v>0</v>
          </cell>
          <cell r="F55">
            <v>11565</v>
          </cell>
          <cell r="G55">
            <v>0</v>
          </cell>
        </row>
        <row r="56">
          <cell r="A56">
            <v>45664</v>
          </cell>
          <cell r="B56">
            <v>17093</v>
          </cell>
          <cell r="C56">
            <v>0</v>
          </cell>
          <cell r="D56">
            <v>250</v>
          </cell>
          <cell r="E56">
            <v>0</v>
          </cell>
          <cell r="F56">
            <v>13797</v>
          </cell>
          <cell r="G56">
            <v>0</v>
          </cell>
        </row>
        <row r="57">
          <cell r="A57">
            <v>45663</v>
          </cell>
          <cell r="B57">
            <v>12190</v>
          </cell>
          <cell r="C57">
            <v>0</v>
          </cell>
          <cell r="D57">
            <v>101</v>
          </cell>
          <cell r="E57">
            <v>0</v>
          </cell>
          <cell r="F57">
            <v>9986</v>
          </cell>
          <cell r="G57">
            <v>0</v>
          </cell>
        </row>
        <row r="58">
          <cell r="A58">
            <v>45662</v>
          </cell>
          <cell r="B58">
            <v>10409</v>
          </cell>
          <cell r="C58">
            <v>1</v>
          </cell>
          <cell r="D58">
            <v>462</v>
          </cell>
          <cell r="E58">
            <v>0</v>
          </cell>
          <cell r="F58">
            <v>8898</v>
          </cell>
          <cell r="G58">
            <v>1</v>
          </cell>
        </row>
        <row r="59">
          <cell r="A59">
            <v>45661</v>
          </cell>
          <cell r="B59">
            <v>1188</v>
          </cell>
          <cell r="C59">
            <v>0</v>
          </cell>
          <cell r="D59">
            <v>0</v>
          </cell>
          <cell r="E59">
            <v>0</v>
          </cell>
          <cell r="F59">
            <v>1010</v>
          </cell>
          <cell r="G59">
            <v>0</v>
          </cell>
        </row>
        <row r="60">
          <cell r="A60">
            <v>45660</v>
          </cell>
          <cell r="B60">
            <v>1036</v>
          </cell>
          <cell r="C60">
            <v>0</v>
          </cell>
          <cell r="D60">
            <v>0</v>
          </cell>
          <cell r="E60">
            <v>0</v>
          </cell>
          <cell r="F60">
            <v>928</v>
          </cell>
          <cell r="G60">
            <v>0</v>
          </cell>
        </row>
        <row r="61">
          <cell r="A61">
            <v>45659</v>
          </cell>
          <cell r="B61">
            <v>1442</v>
          </cell>
          <cell r="C61">
            <v>0</v>
          </cell>
          <cell r="D61">
            <v>0</v>
          </cell>
          <cell r="E61">
            <v>0</v>
          </cell>
          <cell r="F61">
            <v>889</v>
          </cell>
          <cell r="G61">
            <v>0</v>
          </cell>
        </row>
        <row r="62">
          <cell r="A62">
            <v>45658</v>
          </cell>
          <cell r="B62">
            <v>1319</v>
          </cell>
          <cell r="C62">
            <v>0</v>
          </cell>
          <cell r="D62">
            <v>0</v>
          </cell>
          <cell r="E62">
            <v>0</v>
          </cell>
          <cell r="F62">
            <v>1059</v>
          </cell>
          <cell r="G62">
            <v>0</v>
          </cell>
        </row>
        <row r="63">
          <cell r="A63">
            <v>45657</v>
          </cell>
          <cell r="B63">
            <v>817</v>
          </cell>
          <cell r="C63">
            <v>0</v>
          </cell>
          <cell r="D63">
            <v>0</v>
          </cell>
          <cell r="E63">
            <v>0</v>
          </cell>
          <cell r="F63">
            <v>653</v>
          </cell>
          <cell r="G63">
            <v>0</v>
          </cell>
        </row>
        <row r="64">
          <cell r="A64">
            <v>45656</v>
          </cell>
          <cell r="B64">
            <v>1036</v>
          </cell>
          <cell r="C64">
            <v>0</v>
          </cell>
          <cell r="D64">
            <v>0</v>
          </cell>
          <cell r="E64">
            <v>0</v>
          </cell>
          <cell r="F64">
            <v>841</v>
          </cell>
          <cell r="G64">
            <v>0</v>
          </cell>
        </row>
        <row r="65">
          <cell r="A65">
            <v>45655</v>
          </cell>
          <cell r="B65">
            <v>1151</v>
          </cell>
          <cell r="C65">
            <v>0</v>
          </cell>
          <cell r="D65">
            <v>0</v>
          </cell>
          <cell r="E65">
            <v>0</v>
          </cell>
          <cell r="F65">
            <v>929</v>
          </cell>
          <cell r="G65">
            <v>0</v>
          </cell>
        </row>
        <row r="66">
          <cell r="A66">
            <v>45654</v>
          </cell>
          <cell r="B66">
            <v>1097</v>
          </cell>
          <cell r="C66">
            <v>0</v>
          </cell>
          <cell r="D66">
            <v>0</v>
          </cell>
          <cell r="E66">
            <v>0</v>
          </cell>
          <cell r="F66">
            <v>867</v>
          </cell>
          <cell r="G66">
            <v>0</v>
          </cell>
        </row>
        <row r="67">
          <cell r="A67">
            <v>45653</v>
          </cell>
          <cell r="B67">
            <v>1170</v>
          </cell>
          <cell r="C67">
            <v>0</v>
          </cell>
          <cell r="D67">
            <v>0</v>
          </cell>
          <cell r="E67">
            <v>0</v>
          </cell>
          <cell r="F67">
            <v>904</v>
          </cell>
          <cell r="G67">
            <v>0</v>
          </cell>
        </row>
        <row r="68">
          <cell r="A68">
            <v>45652</v>
          </cell>
          <cell r="B68">
            <v>1185</v>
          </cell>
          <cell r="C68">
            <v>0</v>
          </cell>
          <cell r="D68">
            <v>0</v>
          </cell>
          <cell r="E68">
            <v>0</v>
          </cell>
          <cell r="F68">
            <v>898</v>
          </cell>
          <cell r="G68">
            <v>0</v>
          </cell>
        </row>
        <row r="69">
          <cell r="A69">
            <v>45651</v>
          </cell>
          <cell r="B69">
            <v>983</v>
          </cell>
          <cell r="C69">
            <v>0</v>
          </cell>
          <cell r="D69">
            <v>0</v>
          </cell>
          <cell r="E69">
            <v>0</v>
          </cell>
          <cell r="F69">
            <v>803</v>
          </cell>
          <cell r="G69">
            <v>0</v>
          </cell>
        </row>
        <row r="70">
          <cell r="A70">
            <v>45650</v>
          </cell>
          <cell r="B70">
            <v>1014</v>
          </cell>
          <cell r="C70">
            <v>0</v>
          </cell>
          <cell r="D70">
            <v>0</v>
          </cell>
          <cell r="E70">
            <v>0</v>
          </cell>
          <cell r="F70">
            <v>849</v>
          </cell>
          <cell r="G70">
            <v>0</v>
          </cell>
        </row>
        <row r="71">
          <cell r="A71">
            <v>45649</v>
          </cell>
          <cell r="B71">
            <v>2250</v>
          </cell>
          <cell r="C71">
            <v>0</v>
          </cell>
          <cell r="D71">
            <v>0</v>
          </cell>
          <cell r="E71">
            <v>0</v>
          </cell>
          <cell r="F71">
            <v>1782</v>
          </cell>
          <cell r="G71">
            <v>0</v>
          </cell>
        </row>
        <row r="72">
          <cell r="A72">
            <v>45648</v>
          </cell>
          <cell r="B72">
            <v>5404</v>
          </cell>
          <cell r="C72">
            <v>54</v>
          </cell>
          <cell r="D72">
            <v>543</v>
          </cell>
          <cell r="E72">
            <v>0</v>
          </cell>
          <cell r="F72">
            <v>4902</v>
          </cell>
          <cell r="G72">
            <v>54</v>
          </cell>
        </row>
        <row r="73">
          <cell r="A73">
            <v>45647</v>
          </cell>
          <cell r="B73">
            <v>1105</v>
          </cell>
          <cell r="C73">
            <v>0</v>
          </cell>
          <cell r="D73">
            <v>0</v>
          </cell>
          <cell r="E73">
            <v>0</v>
          </cell>
          <cell r="F73">
            <v>849</v>
          </cell>
          <cell r="G73">
            <v>0</v>
          </cell>
        </row>
        <row r="74">
          <cell r="A74">
            <v>45646</v>
          </cell>
          <cell r="B74">
            <v>760</v>
          </cell>
          <cell r="C74">
            <v>0</v>
          </cell>
          <cell r="D74">
            <v>0</v>
          </cell>
          <cell r="E74">
            <v>0</v>
          </cell>
          <cell r="F74">
            <v>543</v>
          </cell>
          <cell r="G74">
            <v>0</v>
          </cell>
        </row>
        <row r="75">
          <cell r="A75">
            <v>45645</v>
          </cell>
          <cell r="B75">
            <v>657</v>
          </cell>
          <cell r="C75">
            <v>0</v>
          </cell>
          <cell r="D75">
            <v>0</v>
          </cell>
          <cell r="E75">
            <v>0</v>
          </cell>
          <cell r="F75">
            <v>556</v>
          </cell>
          <cell r="G75">
            <v>0</v>
          </cell>
        </row>
        <row r="76">
          <cell r="A76">
            <v>45644</v>
          </cell>
          <cell r="B76">
            <v>1833</v>
          </cell>
          <cell r="C76">
            <v>0</v>
          </cell>
          <cell r="D76">
            <v>0</v>
          </cell>
          <cell r="E76">
            <v>0</v>
          </cell>
          <cell r="F76">
            <v>1707</v>
          </cell>
          <cell r="G76">
            <v>0</v>
          </cell>
        </row>
        <row r="77">
          <cell r="A77">
            <v>45643</v>
          </cell>
          <cell r="B77">
            <v>587</v>
          </cell>
          <cell r="C77">
            <v>0</v>
          </cell>
          <cell r="D77">
            <v>0</v>
          </cell>
          <cell r="E77">
            <v>0</v>
          </cell>
          <cell r="F77">
            <v>516</v>
          </cell>
          <cell r="G77">
            <v>0</v>
          </cell>
        </row>
        <row r="78">
          <cell r="A78">
            <v>45642</v>
          </cell>
          <cell r="B78">
            <v>322</v>
          </cell>
          <cell r="C78">
            <v>0</v>
          </cell>
          <cell r="D78">
            <v>0</v>
          </cell>
          <cell r="E78">
            <v>0</v>
          </cell>
          <cell r="F78">
            <v>238</v>
          </cell>
          <cell r="G78">
            <v>0</v>
          </cell>
        </row>
        <row r="79">
          <cell r="A79">
            <v>45641</v>
          </cell>
          <cell r="B79">
            <v>328</v>
          </cell>
          <cell r="C79">
            <v>0</v>
          </cell>
          <cell r="D79">
            <v>0</v>
          </cell>
          <cell r="E79">
            <v>0</v>
          </cell>
          <cell r="F79">
            <v>231</v>
          </cell>
          <cell r="G79">
            <v>0</v>
          </cell>
        </row>
        <row r="80">
          <cell r="A80">
            <v>45640</v>
          </cell>
          <cell r="B80">
            <v>433</v>
          </cell>
          <cell r="C80">
            <v>0</v>
          </cell>
          <cell r="D80">
            <v>0</v>
          </cell>
          <cell r="E80">
            <v>0</v>
          </cell>
          <cell r="F80">
            <v>330</v>
          </cell>
          <cell r="G80">
            <v>0</v>
          </cell>
        </row>
        <row r="81">
          <cell r="A81">
            <v>45639</v>
          </cell>
          <cell r="B81">
            <v>1131</v>
          </cell>
          <cell r="C81">
            <v>1</v>
          </cell>
          <cell r="D81">
            <v>95</v>
          </cell>
          <cell r="E81">
            <v>0</v>
          </cell>
          <cell r="F81">
            <v>1003</v>
          </cell>
          <cell r="G81">
            <v>1</v>
          </cell>
        </row>
        <row r="82">
          <cell r="A82">
            <v>45638</v>
          </cell>
          <cell r="B82">
            <v>185</v>
          </cell>
          <cell r="C82">
            <v>0</v>
          </cell>
          <cell r="D82">
            <v>0</v>
          </cell>
          <cell r="E82">
            <v>0</v>
          </cell>
          <cell r="F82">
            <v>117</v>
          </cell>
          <cell r="G82">
            <v>0</v>
          </cell>
        </row>
        <row r="83">
          <cell r="A83">
            <v>45637</v>
          </cell>
          <cell r="B83">
            <v>180</v>
          </cell>
          <cell r="C83">
            <v>0</v>
          </cell>
          <cell r="D83">
            <v>0</v>
          </cell>
          <cell r="E83">
            <v>0</v>
          </cell>
          <cell r="F83">
            <v>128</v>
          </cell>
          <cell r="G83">
            <v>0</v>
          </cell>
        </row>
        <row r="84">
          <cell r="A84">
            <v>45636</v>
          </cell>
          <cell r="B84">
            <v>250</v>
          </cell>
          <cell r="C84">
            <v>0</v>
          </cell>
          <cell r="D84">
            <v>0</v>
          </cell>
          <cell r="E84">
            <v>0</v>
          </cell>
          <cell r="F84">
            <v>164</v>
          </cell>
          <cell r="G84">
            <v>0</v>
          </cell>
        </row>
        <row r="85">
          <cell r="A85">
            <v>45635</v>
          </cell>
          <cell r="B85">
            <v>316</v>
          </cell>
          <cell r="C85">
            <v>0</v>
          </cell>
          <cell r="D85">
            <v>0</v>
          </cell>
          <cell r="E85">
            <v>0</v>
          </cell>
          <cell r="F85">
            <v>220</v>
          </cell>
          <cell r="G85">
            <v>0</v>
          </cell>
        </row>
        <row r="86">
          <cell r="A86">
            <v>45634</v>
          </cell>
          <cell r="B86">
            <v>351</v>
          </cell>
          <cell r="C86">
            <v>0</v>
          </cell>
          <cell r="D86">
            <v>0</v>
          </cell>
          <cell r="E86">
            <v>0</v>
          </cell>
          <cell r="F86">
            <v>267</v>
          </cell>
          <cell r="G86">
            <v>0</v>
          </cell>
        </row>
        <row r="87">
          <cell r="A87">
            <v>45633</v>
          </cell>
          <cell r="B87">
            <v>489</v>
          </cell>
          <cell r="C87">
            <v>0</v>
          </cell>
          <cell r="D87">
            <v>0</v>
          </cell>
          <cell r="E87">
            <v>0</v>
          </cell>
          <cell r="F87">
            <v>379</v>
          </cell>
          <cell r="G87">
            <v>0</v>
          </cell>
        </row>
        <row r="88">
          <cell r="A88">
            <v>45632</v>
          </cell>
          <cell r="B88">
            <v>1770</v>
          </cell>
          <cell r="C88">
            <v>0</v>
          </cell>
          <cell r="D88">
            <v>0</v>
          </cell>
          <cell r="E88">
            <v>0</v>
          </cell>
          <cell r="F88">
            <v>1507</v>
          </cell>
          <cell r="G88">
            <v>0</v>
          </cell>
        </row>
        <row r="89">
          <cell r="A89">
            <v>45631</v>
          </cell>
          <cell r="B89">
            <v>1550</v>
          </cell>
          <cell r="C89">
            <v>1</v>
          </cell>
          <cell r="D89">
            <v>333</v>
          </cell>
          <cell r="E89">
            <v>0</v>
          </cell>
          <cell r="F89">
            <v>1220</v>
          </cell>
          <cell r="G89">
            <v>1</v>
          </cell>
        </row>
        <row r="90">
          <cell r="A90">
            <v>45630</v>
          </cell>
          <cell r="B90">
            <v>446</v>
          </cell>
          <cell r="C90">
            <v>0</v>
          </cell>
          <cell r="D90">
            <v>0</v>
          </cell>
          <cell r="E90">
            <v>0</v>
          </cell>
          <cell r="F90">
            <v>217</v>
          </cell>
          <cell r="G90">
            <v>0</v>
          </cell>
        </row>
        <row r="91">
          <cell r="A91">
            <v>45629</v>
          </cell>
          <cell r="B91">
            <v>2083</v>
          </cell>
          <cell r="C91">
            <v>0</v>
          </cell>
          <cell r="D91">
            <v>54</v>
          </cell>
          <cell r="E91">
            <v>0</v>
          </cell>
          <cell r="F91">
            <v>1707</v>
          </cell>
          <cell r="G91">
            <v>0</v>
          </cell>
        </row>
        <row r="92">
          <cell r="A92">
            <v>45628</v>
          </cell>
          <cell r="B92">
            <v>385</v>
          </cell>
          <cell r="C92">
            <v>0</v>
          </cell>
          <cell r="D92">
            <v>0</v>
          </cell>
          <cell r="E92">
            <v>0</v>
          </cell>
          <cell r="F92">
            <v>221</v>
          </cell>
          <cell r="G92">
            <v>0</v>
          </cell>
        </row>
        <row r="93">
          <cell r="A93">
            <v>45627</v>
          </cell>
          <cell r="B93">
            <v>626</v>
          </cell>
          <cell r="C93">
            <v>0</v>
          </cell>
          <cell r="D93">
            <v>0</v>
          </cell>
          <cell r="E93">
            <v>0</v>
          </cell>
          <cell r="F93">
            <v>406</v>
          </cell>
          <cell r="G93">
            <v>0</v>
          </cell>
        </row>
        <row r="94">
          <cell r="A94">
            <v>45626</v>
          </cell>
          <cell r="B94">
            <v>2863</v>
          </cell>
          <cell r="C94">
            <v>1</v>
          </cell>
          <cell r="D94">
            <v>91</v>
          </cell>
          <cell r="E94">
            <v>0</v>
          </cell>
          <cell r="F94">
            <v>2556</v>
          </cell>
          <cell r="G94">
            <v>1</v>
          </cell>
        </row>
        <row r="95">
          <cell r="A95">
            <v>45625</v>
          </cell>
          <cell r="B95">
            <v>17470</v>
          </cell>
          <cell r="C95">
            <v>0</v>
          </cell>
          <cell r="D95">
            <v>0</v>
          </cell>
          <cell r="E95">
            <v>0</v>
          </cell>
          <cell r="F95">
            <v>16042</v>
          </cell>
          <cell r="G95">
            <v>0</v>
          </cell>
        </row>
        <row r="96">
          <cell r="A96">
            <v>45624</v>
          </cell>
          <cell r="B96">
            <v>1734</v>
          </cell>
          <cell r="C96">
            <v>3</v>
          </cell>
          <cell r="D96">
            <v>43</v>
          </cell>
          <cell r="E96">
            <v>0</v>
          </cell>
          <cell r="F96">
            <v>1547</v>
          </cell>
          <cell r="G96">
            <v>3</v>
          </cell>
        </row>
        <row r="97">
          <cell r="A97">
            <v>45623</v>
          </cell>
          <cell r="B97">
            <v>404</v>
          </cell>
          <cell r="C97">
            <v>0</v>
          </cell>
          <cell r="D97">
            <v>0</v>
          </cell>
          <cell r="E97">
            <v>0</v>
          </cell>
          <cell r="F97">
            <v>236</v>
          </cell>
          <cell r="G97">
            <v>0</v>
          </cell>
        </row>
        <row r="98">
          <cell r="A98">
            <v>45622</v>
          </cell>
          <cell r="B98">
            <v>540</v>
          </cell>
          <cell r="C98">
            <v>0</v>
          </cell>
          <cell r="D98">
            <v>0</v>
          </cell>
          <cell r="E98">
            <v>0</v>
          </cell>
          <cell r="F98">
            <v>395</v>
          </cell>
          <cell r="G98">
            <v>0</v>
          </cell>
        </row>
        <row r="99">
          <cell r="A99">
            <v>45621</v>
          </cell>
          <cell r="B99">
            <v>333</v>
          </cell>
          <cell r="C99">
            <v>0</v>
          </cell>
          <cell r="D99">
            <v>0</v>
          </cell>
          <cell r="E99">
            <v>0</v>
          </cell>
          <cell r="F99">
            <v>208</v>
          </cell>
          <cell r="G99">
            <v>0</v>
          </cell>
        </row>
        <row r="100">
          <cell r="A100">
            <v>45620</v>
          </cell>
          <cell r="B100">
            <v>445</v>
          </cell>
          <cell r="C100">
            <v>0</v>
          </cell>
          <cell r="D100">
            <v>0</v>
          </cell>
          <cell r="E100">
            <v>0</v>
          </cell>
          <cell r="F100">
            <v>264</v>
          </cell>
          <cell r="G100">
            <v>0</v>
          </cell>
        </row>
        <row r="101">
          <cell r="A101">
            <v>45619</v>
          </cell>
          <cell r="B101">
            <v>599</v>
          </cell>
          <cell r="C101">
            <v>0</v>
          </cell>
          <cell r="D101">
            <v>0</v>
          </cell>
          <cell r="E101">
            <v>0</v>
          </cell>
          <cell r="F101">
            <v>459</v>
          </cell>
          <cell r="G101">
            <v>0</v>
          </cell>
        </row>
        <row r="102">
          <cell r="A102">
            <v>45618</v>
          </cell>
          <cell r="B102">
            <v>1115</v>
          </cell>
          <cell r="C102">
            <v>0</v>
          </cell>
          <cell r="D102">
            <v>0</v>
          </cell>
          <cell r="E102">
            <v>0</v>
          </cell>
          <cell r="F102">
            <v>829</v>
          </cell>
          <cell r="G102">
            <v>0</v>
          </cell>
        </row>
        <row r="103">
          <cell r="A103">
            <v>45617</v>
          </cell>
          <cell r="B103">
            <v>5179</v>
          </cell>
          <cell r="C103">
            <v>5</v>
          </cell>
          <cell r="D103">
            <v>382</v>
          </cell>
          <cell r="E103">
            <v>0</v>
          </cell>
          <cell r="F103">
            <v>4299</v>
          </cell>
          <cell r="G103">
            <v>5</v>
          </cell>
        </row>
        <row r="104">
          <cell r="A104">
            <v>45616</v>
          </cell>
          <cell r="B104">
            <v>1665</v>
          </cell>
          <cell r="C104">
            <v>0</v>
          </cell>
          <cell r="D104">
            <v>51</v>
          </cell>
          <cell r="E104">
            <v>0</v>
          </cell>
          <cell r="F104">
            <v>1380</v>
          </cell>
          <cell r="G104">
            <v>0</v>
          </cell>
        </row>
        <row r="105">
          <cell r="A105">
            <v>45615</v>
          </cell>
          <cell r="B105">
            <v>3852</v>
          </cell>
          <cell r="C105">
            <v>1</v>
          </cell>
          <cell r="D105">
            <v>265</v>
          </cell>
          <cell r="E105">
            <v>0</v>
          </cell>
          <cell r="F105">
            <v>2819</v>
          </cell>
          <cell r="G105">
            <v>1</v>
          </cell>
        </row>
        <row r="106">
          <cell r="A106">
            <v>45614</v>
          </cell>
          <cell r="B106">
            <v>2413</v>
          </cell>
          <cell r="C106">
            <v>0</v>
          </cell>
          <cell r="D106">
            <v>247</v>
          </cell>
          <cell r="E106">
            <v>0</v>
          </cell>
          <cell r="F106">
            <v>1845</v>
          </cell>
          <cell r="G106">
            <v>0</v>
          </cell>
        </row>
        <row r="107">
          <cell r="A107">
            <v>45613</v>
          </cell>
          <cell r="B107">
            <v>2604</v>
          </cell>
          <cell r="C107">
            <v>0</v>
          </cell>
          <cell r="D107">
            <v>78</v>
          </cell>
          <cell r="E107">
            <v>0</v>
          </cell>
          <cell r="F107">
            <v>2099</v>
          </cell>
          <cell r="G107">
            <v>0</v>
          </cell>
        </row>
        <row r="108">
          <cell r="A108">
            <v>45612</v>
          </cell>
          <cell r="B108">
            <v>6443</v>
          </cell>
          <cell r="C108">
            <v>0</v>
          </cell>
          <cell r="D108">
            <v>683</v>
          </cell>
          <cell r="E108">
            <v>0</v>
          </cell>
          <cell r="F108">
            <v>5487</v>
          </cell>
          <cell r="G108">
            <v>0</v>
          </cell>
        </row>
        <row r="109">
          <cell r="A109">
            <v>45611</v>
          </cell>
          <cell r="B109">
            <v>23091</v>
          </cell>
          <cell r="C109">
            <v>0</v>
          </cell>
          <cell r="D109">
            <v>60</v>
          </cell>
          <cell r="E109">
            <v>7</v>
          </cell>
          <cell r="F109">
            <v>20922</v>
          </cell>
          <cell r="G109">
            <v>0</v>
          </cell>
        </row>
        <row r="110">
          <cell r="A110">
            <v>45610</v>
          </cell>
          <cell r="B110">
            <v>29043</v>
          </cell>
          <cell r="C110">
            <v>0</v>
          </cell>
          <cell r="D110">
            <v>132</v>
          </cell>
          <cell r="E110">
            <v>0</v>
          </cell>
          <cell r="F110">
            <v>26628</v>
          </cell>
          <cell r="G110">
            <v>0</v>
          </cell>
        </row>
        <row r="111">
          <cell r="A111">
            <v>45609</v>
          </cell>
          <cell r="B111">
            <v>39366</v>
          </cell>
          <cell r="C111">
            <v>0</v>
          </cell>
          <cell r="D111">
            <v>194</v>
          </cell>
          <cell r="E111">
            <v>0</v>
          </cell>
          <cell r="F111">
            <v>34723</v>
          </cell>
          <cell r="G111">
            <v>0</v>
          </cell>
        </row>
        <row r="112">
          <cell r="A112">
            <v>45608</v>
          </cell>
          <cell r="B112">
            <v>30790</v>
          </cell>
          <cell r="C112">
            <v>0</v>
          </cell>
          <cell r="D112">
            <v>492</v>
          </cell>
          <cell r="E112">
            <v>0</v>
          </cell>
          <cell r="F112">
            <v>27213</v>
          </cell>
          <cell r="G112">
            <v>0</v>
          </cell>
        </row>
        <row r="113">
          <cell r="A113">
            <v>45607</v>
          </cell>
          <cell r="B113">
            <v>41557</v>
          </cell>
          <cell r="C113">
            <v>1</v>
          </cell>
          <cell r="D113">
            <v>164</v>
          </cell>
          <cell r="E113">
            <v>0</v>
          </cell>
          <cell r="F113">
            <v>37410</v>
          </cell>
          <cell r="G113">
            <v>1</v>
          </cell>
        </row>
        <row r="114">
          <cell r="A114">
            <v>45606</v>
          </cell>
          <cell r="B114">
            <v>34928</v>
          </cell>
          <cell r="C114">
            <v>0</v>
          </cell>
          <cell r="D114">
            <v>184</v>
          </cell>
          <cell r="E114">
            <v>0</v>
          </cell>
          <cell r="F114">
            <v>32174</v>
          </cell>
          <cell r="G114">
            <v>0</v>
          </cell>
        </row>
        <row r="115">
          <cell r="A115">
            <v>45605</v>
          </cell>
          <cell r="B115">
            <v>40335</v>
          </cell>
          <cell r="C115">
            <v>1</v>
          </cell>
          <cell r="D115">
            <v>198</v>
          </cell>
          <cell r="E115">
            <v>0</v>
          </cell>
          <cell r="F115">
            <v>36545</v>
          </cell>
          <cell r="G115">
            <v>1</v>
          </cell>
        </row>
        <row r="116">
          <cell r="A116">
            <v>45604</v>
          </cell>
          <cell r="B116">
            <v>25732</v>
          </cell>
          <cell r="C116">
            <v>0</v>
          </cell>
          <cell r="D116">
            <v>0</v>
          </cell>
          <cell r="E116">
            <v>0</v>
          </cell>
          <cell r="F116">
            <v>23646</v>
          </cell>
          <cell r="G116">
            <v>0</v>
          </cell>
        </row>
        <row r="117">
          <cell r="A117">
            <v>45603</v>
          </cell>
          <cell r="B117">
            <v>31976</v>
          </cell>
          <cell r="C117">
            <v>0</v>
          </cell>
          <cell r="D117">
            <v>0</v>
          </cell>
          <cell r="E117">
            <v>0</v>
          </cell>
          <cell r="F117">
            <v>28835</v>
          </cell>
          <cell r="G117">
            <v>0</v>
          </cell>
        </row>
        <row r="118">
          <cell r="A118">
            <v>45602</v>
          </cell>
          <cell r="B118">
            <v>32285</v>
          </cell>
          <cell r="C118">
            <v>0</v>
          </cell>
          <cell r="D118">
            <v>0</v>
          </cell>
          <cell r="E118">
            <v>0</v>
          </cell>
          <cell r="F118">
            <v>28920</v>
          </cell>
          <cell r="G118">
            <v>0</v>
          </cell>
        </row>
        <row r="119">
          <cell r="A119">
            <v>45601</v>
          </cell>
          <cell r="B119">
            <v>40215</v>
          </cell>
          <cell r="C119">
            <v>0</v>
          </cell>
          <cell r="D119">
            <v>0</v>
          </cell>
          <cell r="E119">
            <v>0</v>
          </cell>
          <cell r="F119">
            <v>36089</v>
          </cell>
          <cell r="G119">
            <v>0</v>
          </cell>
        </row>
        <row r="120">
          <cell r="A120">
            <v>45600</v>
          </cell>
          <cell r="B120">
            <v>29733</v>
          </cell>
          <cell r="C120">
            <v>2</v>
          </cell>
          <cell r="D120">
            <v>196</v>
          </cell>
          <cell r="E120">
            <v>0</v>
          </cell>
          <cell r="F120">
            <v>25422</v>
          </cell>
          <cell r="G120">
            <v>2</v>
          </cell>
        </row>
        <row r="121">
          <cell r="A121">
            <v>45599</v>
          </cell>
          <cell r="B121">
            <v>42762</v>
          </cell>
          <cell r="C121">
            <v>0</v>
          </cell>
          <cell r="D121">
            <v>0</v>
          </cell>
          <cell r="E121">
            <v>0</v>
          </cell>
          <cell r="F121">
            <v>34232</v>
          </cell>
          <cell r="G121">
            <v>0</v>
          </cell>
        </row>
        <row r="122">
          <cell r="A122">
            <v>45598</v>
          </cell>
          <cell r="B122">
            <v>33998</v>
          </cell>
          <cell r="C122">
            <v>4</v>
          </cell>
          <cell r="D122">
            <v>301</v>
          </cell>
          <cell r="E122">
            <v>0</v>
          </cell>
          <cell r="F122">
            <v>31271</v>
          </cell>
          <cell r="G122">
            <v>4</v>
          </cell>
        </row>
        <row r="123">
          <cell r="A123">
            <v>45597</v>
          </cell>
          <cell r="B123">
            <v>17648</v>
          </cell>
          <cell r="C123">
            <v>0</v>
          </cell>
          <cell r="D123">
            <v>0</v>
          </cell>
          <cell r="E123">
            <v>0</v>
          </cell>
          <cell r="F123">
            <v>15320</v>
          </cell>
          <cell r="G123">
            <v>0</v>
          </cell>
        </row>
        <row r="124">
          <cell r="A124">
            <v>45596</v>
          </cell>
          <cell r="B124">
            <v>14284</v>
          </cell>
          <cell r="C124">
            <v>0</v>
          </cell>
          <cell r="D124">
            <v>0</v>
          </cell>
          <cell r="E124">
            <v>0</v>
          </cell>
          <cell r="F124">
            <v>12902</v>
          </cell>
          <cell r="G124">
            <v>0</v>
          </cell>
        </row>
        <row r="125">
          <cell r="A125">
            <v>45595</v>
          </cell>
          <cell r="B125">
            <v>306</v>
          </cell>
          <cell r="C125">
            <v>0</v>
          </cell>
          <cell r="D125">
            <v>0</v>
          </cell>
          <cell r="E125">
            <v>0</v>
          </cell>
          <cell r="F125">
            <v>240</v>
          </cell>
          <cell r="G125">
            <v>0</v>
          </cell>
        </row>
        <row r="126">
          <cell r="A126">
            <v>45594</v>
          </cell>
          <cell r="B126">
            <v>261</v>
          </cell>
          <cell r="C126">
            <v>0</v>
          </cell>
          <cell r="D126">
            <v>0</v>
          </cell>
          <cell r="E126">
            <v>0</v>
          </cell>
          <cell r="F126">
            <v>189</v>
          </cell>
          <cell r="G126">
            <v>0</v>
          </cell>
        </row>
        <row r="127">
          <cell r="A127">
            <v>45593</v>
          </cell>
          <cell r="B127">
            <v>389</v>
          </cell>
          <cell r="C127">
            <v>0</v>
          </cell>
          <cell r="D127">
            <v>0</v>
          </cell>
          <cell r="E127">
            <v>0</v>
          </cell>
          <cell r="F127">
            <v>262</v>
          </cell>
          <cell r="G127">
            <v>0</v>
          </cell>
        </row>
        <row r="128">
          <cell r="A128">
            <v>45592</v>
          </cell>
          <cell r="B128">
            <v>482</v>
          </cell>
          <cell r="C128">
            <v>0</v>
          </cell>
          <cell r="D128">
            <v>0</v>
          </cell>
          <cell r="E128">
            <v>0</v>
          </cell>
          <cell r="F128">
            <v>257</v>
          </cell>
          <cell r="G128">
            <v>0</v>
          </cell>
        </row>
        <row r="129">
          <cell r="A129">
            <v>45591</v>
          </cell>
          <cell r="B129">
            <v>252</v>
          </cell>
          <cell r="C129">
            <v>0</v>
          </cell>
          <cell r="D129">
            <v>0</v>
          </cell>
          <cell r="E129">
            <v>0</v>
          </cell>
          <cell r="F129">
            <v>173</v>
          </cell>
          <cell r="G129">
            <v>0</v>
          </cell>
        </row>
        <row r="130">
          <cell r="A130">
            <v>45590</v>
          </cell>
          <cell r="B130">
            <v>277</v>
          </cell>
          <cell r="C130">
            <v>0</v>
          </cell>
          <cell r="D130">
            <v>0</v>
          </cell>
          <cell r="E130">
            <v>0</v>
          </cell>
          <cell r="F130">
            <v>162</v>
          </cell>
          <cell r="G130">
            <v>0</v>
          </cell>
        </row>
        <row r="131">
          <cell r="A131">
            <v>45589</v>
          </cell>
          <cell r="B131">
            <v>463</v>
          </cell>
          <cell r="C131">
            <v>0</v>
          </cell>
          <cell r="D131">
            <v>0</v>
          </cell>
          <cell r="E131">
            <v>0</v>
          </cell>
          <cell r="F131">
            <v>341</v>
          </cell>
          <cell r="G131">
            <v>0</v>
          </cell>
        </row>
        <row r="132">
          <cell r="A132">
            <v>45588</v>
          </cell>
          <cell r="B132">
            <v>857</v>
          </cell>
          <cell r="C132">
            <v>0</v>
          </cell>
          <cell r="D132">
            <v>0</v>
          </cell>
          <cell r="E132">
            <v>0</v>
          </cell>
          <cell r="F132">
            <v>650</v>
          </cell>
          <cell r="G132">
            <v>0</v>
          </cell>
        </row>
        <row r="133">
          <cell r="A133">
            <v>45587</v>
          </cell>
          <cell r="B133">
            <v>2114</v>
          </cell>
          <cell r="C133">
            <v>0</v>
          </cell>
          <cell r="D133">
            <v>317</v>
          </cell>
          <cell r="E133">
            <v>0</v>
          </cell>
          <cell r="F133">
            <v>1768</v>
          </cell>
          <cell r="G133">
            <v>0</v>
          </cell>
        </row>
        <row r="134">
          <cell r="A134">
            <v>45586</v>
          </cell>
          <cell r="B134">
            <v>389</v>
          </cell>
          <cell r="C134">
            <v>0</v>
          </cell>
          <cell r="D134">
            <v>0</v>
          </cell>
          <cell r="E134">
            <v>0</v>
          </cell>
          <cell r="F134">
            <v>333</v>
          </cell>
          <cell r="G134">
            <v>0</v>
          </cell>
        </row>
        <row r="135">
          <cell r="A135">
            <v>45585</v>
          </cell>
          <cell r="B135">
            <v>954</v>
          </cell>
          <cell r="C135">
            <v>0</v>
          </cell>
          <cell r="D135">
            <v>0</v>
          </cell>
          <cell r="E135">
            <v>0</v>
          </cell>
          <cell r="F135">
            <v>779</v>
          </cell>
          <cell r="G135">
            <v>0</v>
          </cell>
        </row>
        <row r="136">
          <cell r="A136">
            <v>45584</v>
          </cell>
          <cell r="B136">
            <v>236</v>
          </cell>
          <cell r="C136">
            <v>0</v>
          </cell>
          <cell r="D136">
            <v>0</v>
          </cell>
          <cell r="E136">
            <v>0</v>
          </cell>
          <cell r="F136">
            <v>158</v>
          </cell>
          <cell r="G136">
            <v>0</v>
          </cell>
        </row>
        <row r="137">
          <cell r="A137">
            <v>45583</v>
          </cell>
          <cell r="B137">
            <v>187</v>
          </cell>
          <cell r="C137">
            <v>0</v>
          </cell>
          <cell r="D137">
            <v>0</v>
          </cell>
          <cell r="E137">
            <v>0</v>
          </cell>
          <cell r="F137">
            <v>128</v>
          </cell>
          <cell r="G137">
            <v>0</v>
          </cell>
        </row>
        <row r="138">
          <cell r="A138">
            <v>45582</v>
          </cell>
          <cell r="B138">
            <v>211</v>
          </cell>
          <cell r="C138">
            <v>0</v>
          </cell>
          <cell r="D138">
            <v>0</v>
          </cell>
          <cell r="E138">
            <v>0</v>
          </cell>
          <cell r="F138">
            <v>133</v>
          </cell>
          <cell r="G138">
            <v>0</v>
          </cell>
        </row>
        <row r="139">
          <cell r="A139">
            <v>45581</v>
          </cell>
          <cell r="B139">
            <v>216</v>
          </cell>
          <cell r="C139">
            <v>0</v>
          </cell>
          <cell r="D139">
            <v>0</v>
          </cell>
          <cell r="E139">
            <v>0</v>
          </cell>
          <cell r="F139">
            <v>130</v>
          </cell>
          <cell r="G139">
            <v>0</v>
          </cell>
        </row>
        <row r="140">
          <cell r="A140">
            <v>45580</v>
          </cell>
          <cell r="B140">
            <v>255</v>
          </cell>
          <cell r="C140">
            <v>0</v>
          </cell>
          <cell r="D140">
            <v>0</v>
          </cell>
          <cell r="E140">
            <v>0</v>
          </cell>
          <cell r="F140">
            <v>155</v>
          </cell>
          <cell r="G140">
            <v>0</v>
          </cell>
        </row>
        <row r="141">
          <cell r="A141">
            <v>45579</v>
          </cell>
          <cell r="B141">
            <v>252</v>
          </cell>
          <cell r="C141">
            <v>0</v>
          </cell>
          <cell r="D141">
            <v>0</v>
          </cell>
          <cell r="E141">
            <v>0</v>
          </cell>
          <cell r="F141">
            <v>174</v>
          </cell>
          <cell r="G141">
            <v>0</v>
          </cell>
        </row>
        <row r="142">
          <cell r="A142">
            <v>45578</v>
          </cell>
          <cell r="B142">
            <v>319</v>
          </cell>
          <cell r="C142">
            <v>0</v>
          </cell>
          <cell r="D142">
            <v>0</v>
          </cell>
          <cell r="E142">
            <v>0</v>
          </cell>
          <cell r="F142">
            <v>180</v>
          </cell>
          <cell r="G142">
            <v>0</v>
          </cell>
        </row>
        <row r="143">
          <cell r="A143">
            <v>45577</v>
          </cell>
          <cell r="B143">
            <v>247</v>
          </cell>
          <cell r="C143">
            <v>0</v>
          </cell>
          <cell r="D143">
            <v>0</v>
          </cell>
          <cell r="E143">
            <v>0</v>
          </cell>
          <cell r="F143">
            <v>154</v>
          </cell>
          <cell r="G143">
            <v>0</v>
          </cell>
        </row>
        <row r="144">
          <cell r="A144">
            <v>45576</v>
          </cell>
          <cell r="B144">
            <v>268</v>
          </cell>
          <cell r="C144">
            <v>0</v>
          </cell>
          <cell r="D144">
            <v>0</v>
          </cell>
          <cell r="E144">
            <v>0</v>
          </cell>
          <cell r="F144">
            <v>147</v>
          </cell>
          <cell r="G144">
            <v>0</v>
          </cell>
        </row>
        <row r="145">
          <cell r="A145">
            <v>45575</v>
          </cell>
          <cell r="B145">
            <v>222</v>
          </cell>
          <cell r="C145">
            <v>0</v>
          </cell>
          <cell r="D145">
            <v>0</v>
          </cell>
          <cell r="E145">
            <v>0</v>
          </cell>
          <cell r="F145">
            <v>129</v>
          </cell>
          <cell r="G145">
            <v>0</v>
          </cell>
        </row>
        <row r="146">
          <cell r="A146">
            <v>45574</v>
          </cell>
          <cell r="B146">
            <v>294</v>
          </cell>
          <cell r="C146">
            <v>0</v>
          </cell>
          <cell r="D146">
            <v>0</v>
          </cell>
          <cell r="E146">
            <v>0</v>
          </cell>
          <cell r="F146">
            <v>148</v>
          </cell>
          <cell r="G146">
            <v>0</v>
          </cell>
        </row>
        <row r="147">
          <cell r="A147">
            <v>45573</v>
          </cell>
          <cell r="B147">
            <v>276</v>
          </cell>
          <cell r="C147">
            <v>0</v>
          </cell>
          <cell r="D147">
            <v>0</v>
          </cell>
          <cell r="E147">
            <v>0</v>
          </cell>
          <cell r="F147">
            <v>173</v>
          </cell>
          <cell r="G147">
            <v>0</v>
          </cell>
        </row>
        <row r="148">
          <cell r="A148">
            <v>45572</v>
          </cell>
          <cell r="B148">
            <v>204</v>
          </cell>
          <cell r="C148">
            <v>0</v>
          </cell>
          <cell r="D148">
            <v>0</v>
          </cell>
          <cell r="E148">
            <v>0</v>
          </cell>
          <cell r="F148">
            <v>139</v>
          </cell>
          <cell r="G148">
            <v>0</v>
          </cell>
        </row>
        <row r="149">
          <cell r="A149">
            <v>45571</v>
          </cell>
          <cell r="B149">
            <v>275</v>
          </cell>
          <cell r="C149">
            <v>0</v>
          </cell>
          <cell r="D149">
            <v>0</v>
          </cell>
          <cell r="E149">
            <v>0</v>
          </cell>
          <cell r="F149">
            <v>179</v>
          </cell>
          <cell r="G149">
            <v>0</v>
          </cell>
        </row>
        <row r="150">
          <cell r="A150">
            <v>45570</v>
          </cell>
          <cell r="B150">
            <v>366</v>
          </cell>
          <cell r="C150">
            <v>0</v>
          </cell>
          <cell r="D150">
            <v>0</v>
          </cell>
          <cell r="E150">
            <v>0</v>
          </cell>
          <cell r="F150">
            <v>273</v>
          </cell>
          <cell r="G150">
            <v>0</v>
          </cell>
        </row>
        <row r="151">
          <cell r="A151">
            <v>45569</v>
          </cell>
          <cell r="B151">
            <v>424</v>
          </cell>
          <cell r="C151">
            <v>0</v>
          </cell>
          <cell r="D151">
            <v>0</v>
          </cell>
          <cell r="E151">
            <v>0</v>
          </cell>
          <cell r="F151">
            <v>327</v>
          </cell>
          <cell r="G151">
            <v>0</v>
          </cell>
        </row>
        <row r="152">
          <cell r="A152">
            <v>45568</v>
          </cell>
          <cell r="B152">
            <v>329</v>
          </cell>
          <cell r="C152">
            <v>0</v>
          </cell>
          <cell r="D152">
            <v>0</v>
          </cell>
          <cell r="E152">
            <v>0</v>
          </cell>
          <cell r="F152">
            <v>234</v>
          </cell>
          <cell r="G152">
            <v>0</v>
          </cell>
        </row>
        <row r="153">
          <cell r="A153">
            <v>45567</v>
          </cell>
          <cell r="B153">
            <v>403</v>
          </cell>
          <cell r="C153">
            <v>0</v>
          </cell>
          <cell r="D153">
            <v>0</v>
          </cell>
          <cell r="E153">
            <v>0</v>
          </cell>
          <cell r="F153">
            <v>279</v>
          </cell>
          <cell r="G153">
            <v>0</v>
          </cell>
        </row>
        <row r="154">
          <cell r="A154">
            <v>45566</v>
          </cell>
          <cell r="B154">
            <v>442</v>
          </cell>
          <cell r="C154">
            <v>0</v>
          </cell>
          <cell r="D154">
            <v>0</v>
          </cell>
          <cell r="E154">
            <v>0</v>
          </cell>
          <cell r="F154">
            <v>314</v>
          </cell>
          <cell r="G154">
            <v>0</v>
          </cell>
        </row>
        <row r="155">
          <cell r="A155">
            <v>45565</v>
          </cell>
          <cell r="B155">
            <v>494</v>
          </cell>
          <cell r="C155">
            <v>0</v>
          </cell>
          <cell r="D155">
            <v>0</v>
          </cell>
          <cell r="E155">
            <v>0</v>
          </cell>
          <cell r="F155">
            <v>343</v>
          </cell>
          <cell r="G155">
            <v>0</v>
          </cell>
        </row>
        <row r="156">
          <cell r="A156">
            <v>45564</v>
          </cell>
          <cell r="B156">
            <v>636</v>
          </cell>
          <cell r="C156">
            <v>0</v>
          </cell>
          <cell r="D156">
            <v>0</v>
          </cell>
          <cell r="E156">
            <v>0</v>
          </cell>
          <cell r="F156">
            <v>425</v>
          </cell>
          <cell r="G156">
            <v>0</v>
          </cell>
        </row>
        <row r="157">
          <cell r="A157">
            <v>45563</v>
          </cell>
          <cell r="B157">
            <v>445</v>
          </cell>
          <cell r="C157">
            <v>0</v>
          </cell>
          <cell r="D157">
            <v>0</v>
          </cell>
          <cell r="E157">
            <v>0</v>
          </cell>
          <cell r="F157">
            <v>267</v>
          </cell>
          <cell r="G157">
            <v>0</v>
          </cell>
        </row>
        <row r="158">
          <cell r="A158">
            <v>45562</v>
          </cell>
          <cell r="B158">
            <v>272</v>
          </cell>
          <cell r="C158">
            <v>0</v>
          </cell>
          <cell r="D158">
            <v>0</v>
          </cell>
          <cell r="E158">
            <v>0</v>
          </cell>
          <cell r="F158">
            <v>185</v>
          </cell>
          <cell r="G158">
            <v>0</v>
          </cell>
        </row>
        <row r="159">
          <cell r="A159">
            <v>45561</v>
          </cell>
          <cell r="B159">
            <v>324</v>
          </cell>
          <cell r="C159">
            <v>0</v>
          </cell>
          <cell r="D159">
            <v>0</v>
          </cell>
          <cell r="E159">
            <v>0</v>
          </cell>
          <cell r="F159">
            <v>232</v>
          </cell>
          <cell r="G159">
            <v>0</v>
          </cell>
        </row>
        <row r="160">
          <cell r="A160">
            <v>45560</v>
          </cell>
          <cell r="B160">
            <v>664</v>
          </cell>
          <cell r="C160">
            <v>0</v>
          </cell>
          <cell r="D160">
            <v>0</v>
          </cell>
          <cell r="E160">
            <v>0</v>
          </cell>
          <cell r="F160">
            <v>488</v>
          </cell>
          <cell r="G160">
            <v>0</v>
          </cell>
        </row>
        <row r="161">
          <cell r="A161">
            <v>45559</v>
          </cell>
          <cell r="B161">
            <v>676</v>
          </cell>
          <cell r="C161">
            <v>0</v>
          </cell>
          <cell r="D161">
            <v>0</v>
          </cell>
          <cell r="E161">
            <v>0</v>
          </cell>
          <cell r="F161">
            <v>497</v>
          </cell>
          <cell r="G161">
            <v>0</v>
          </cell>
        </row>
        <row r="162">
          <cell r="A162">
            <v>45558</v>
          </cell>
          <cell r="B162">
            <v>1097</v>
          </cell>
          <cell r="C162">
            <v>0</v>
          </cell>
          <cell r="D162">
            <v>0</v>
          </cell>
          <cell r="E162">
            <v>0</v>
          </cell>
          <cell r="F162">
            <v>750</v>
          </cell>
          <cell r="G162">
            <v>0</v>
          </cell>
        </row>
        <row r="163">
          <cell r="A163">
            <v>45557</v>
          </cell>
          <cell r="B163">
            <v>1175</v>
          </cell>
          <cell r="C163">
            <v>0</v>
          </cell>
          <cell r="D163">
            <v>0</v>
          </cell>
          <cell r="E163">
            <v>0</v>
          </cell>
          <cell r="F163">
            <v>879</v>
          </cell>
          <cell r="G163">
            <v>0</v>
          </cell>
        </row>
        <row r="164">
          <cell r="A164">
            <v>45556</v>
          </cell>
          <cell r="B164">
            <v>737</v>
          </cell>
          <cell r="C164">
            <v>0</v>
          </cell>
          <cell r="D164">
            <v>0</v>
          </cell>
          <cell r="E164">
            <v>0</v>
          </cell>
          <cell r="F164">
            <v>588</v>
          </cell>
          <cell r="G164">
            <v>0</v>
          </cell>
        </row>
        <row r="165">
          <cell r="A165">
            <v>45555</v>
          </cell>
          <cell r="B165">
            <v>1110</v>
          </cell>
          <cell r="C165">
            <v>0</v>
          </cell>
          <cell r="D165">
            <v>0</v>
          </cell>
          <cell r="E165">
            <v>0</v>
          </cell>
          <cell r="F165">
            <v>855</v>
          </cell>
          <cell r="G165">
            <v>0</v>
          </cell>
        </row>
        <row r="166">
          <cell r="A166">
            <v>45554</v>
          </cell>
          <cell r="B166">
            <v>804</v>
          </cell>
          <cell r="C166">
            <v>0</v>
          </cell>
          <cell r="D166">
            <v>0</v>
          </cell>
          <cell r="E166">
            <v>0</v>
          </cell>
          <cell r="F166">
            <v>674</v>
          </cell>
          <cell r="G166">
            <v>0</v>
          </cell>
        </row>
        <row r="167">
          <cell r="A167">
            <v>45553</v>
          </cell>
          <cell r="B167">
            <v>3455</v>
          </cell>
          <cell r="C167">
            <v>0</v>
          </cell>
          <cell r="D167">
            <v>0</v>
          </cell>
          <cell r="E167">
            <v>0</v>
          </cell>
          <cell r="F167">
            <v>3099</v>
          </cell>
          <cell r="G167">
            <v>0</v>
          </cell>
        </row>
        <row r="168">
          <cell r="A168">
            <v>45552</v>
          </cell>
          <cell r="B168">
            <v>3713</v>
          </cell>
          <cell r="C168">
            <v>0</v>
          </cell>
          <cell r="D168">
            <v>0</v>
          </cell>
          <cell r="E168">
            <v>0</v>
          </cell>
          <cell r="F168">
            <v>3360</v>
          </cell>
          <cell r="G168">
            <v>0</v>
          </cell>
        </row>
        <row r="169">
          <cell r="A169">
            <v>45551</v>
          </cell>
          <cell r="B169">
            <v>3888</v>
          </cell>
          <cell r="C169">
            <v>0</v>
          </cell>
          <cell r="D169">
            <v>0</v>
          </cell>
          <cell r="E169">
            <v>0</v>
          </cell>
          <cell r="F169">
            <v>3477</v>
          </cell>
          <cell r="G169">
            <v>0</v>
          </cell>
        </row>
        <row r="170">
          <cell r="A170">
            <v>45550</v>
          </cell>
          <cell r="B170">
            <v>3036</v>
          </cell>
          <cell r="C170">
            <v>0</v>
          </cell>
          <cell r="D170">
            <v>0</v>
          </cell>
          <cell r="E170">
            <v>0</v>
          </cell>
          <cell r="F170">
            <v>2630</v>
          </cell>
          <cell r="G170">
            <v>0</v>
          </cell>
        </row>
        <row r="171">
          <cell r="A171">
            <v>45549</v>
          </cell>
          <cell r="B171">
            <v>3176</v>
          </cell>
          <cell r="C171">
            <v>0</v>
          </cell>
          <cell r="D171">
            <v>0</v>
          </cell>
          <cell r="E171">
            <v>0</v>
          </cell>
          <cell r="F171">
            <v>2831</v>
          </cell>
          <cell r="G171">
            <v>0</v>
          </cell>
        </row>
        <row r="172">
          <cell r="A172">
            <v>45548</v>
          </cell>
          <cell r="B172">
            <v>3096</v>
          </cell>
          <cell r="C172">
            <v>0</v>
          </cell>
          <cell r="D172">
            <v>0</v>
          </cell>
          <cell r="E172">
            <v>0</v>
          </cell>
          <cell r="F172">
            <v>2738</v>
          </cell>
          <cell r="G172">
            <v>0</v>
          </cell>
        </row>
        <row r="173">
          <cell r="A173">
            <v>45547</v>
          </cell>
          <cell r="B173">
            <v>7065</v>
          </cell>
          <cell r="C173">
            <v>0</v>
          </cell>
          <cell r="D173">
            <v>0</v>
          </cell>
          <cell r="E173">
            <v>0</v>
          </cell>
          <cell r="F173">
            <v>6492</v>
          </cell>
          <cell r="G173">
            <v>0</v>
          </cell>
        </row>
        <row r="174">
          <cell r="A174">
            <v>45546</v>
          </cell>
          <cell r="B174">
            <v>12450</v>
          </cell>
          <cell r="C174">
            <v>0</v>
          </cell>
          <cell r="D174">
            <v>0</v>
          </cell>
          <cell r="E174">
            <v>0</v>
          </cell>
          <cell r="F174">
            <v>11288</v>
          </cell>
          <cell r="G174">
            <v>0</v>
          </cell>
        </row>
        <row r="175">
          <cell r="A175">
            <v>45545</v>
          </cell>
          <cell r="B175">
            <v>31979</v>
          </cell>
          <cell r="C175">
            <v>0</v>
          </cell>
          <cell r="D175">
            <v>345</v>
          </cell>
          <cell r="E175">
            <v>0</v>
          </cell>
          <cell r="F175">
            <v>29439</v>
          </cell>
          <cell r="G175">
            <v>0</v>
          </cell>
        </row>
        <row r="176">
          <cell r="A176">
            <v>45544</v>
          </cell>
          <cell r="B176">
            <v>39709</v>
          </cell>
          <cell r="C176">
            <v>0</v>
          </cell>
          <cell r="D176">
            <v>115</v>
          </cell>
          <cell r="E176">
            <v>0</v>
          </cell>
          <cell r="F176">
            <v>36423</v>
          </cell>
          <cell r="G176">
            <v>0</v>
          </cell>
        </row>
        <row r="177">
          <cell r="A177">
            <v>45543</v>
          </cell>
          <cell r="B177">
            <v>45973</v>
          </cell>
          <cell r="C177">
            <v>0</v>
          </cell>
          <cell r="D177">
            <v>145</v>
          </cell>
          <cell r="E177">
            <v>0</v>
          </cell>
          <cell r="F177">
            <v>39901</v>
          </cell>
          <cell r="G177">
            <v>0</v>
          </cell>
        </row>
        <row r="178">
          <cell r="A178">
            <v>45542</v>
          </cell>
          <cell r="B178">
            <v>50499</v>
          </cell>
          <cell r="C178">
            <v>0</v>
          </cell>
          <cell r="D178">
            <v>102</v>
          </cell>
          <cell r="E178">
            <v>0</v>
          </cell>
          <cell r="F178">
            <v>46180</v>
          </cell>
          <cell r="G178">
            <v>0</v>
          </cell>
        </row>
        <row r="179">
          <cell r="A179">
            <v>45541</v>
          </cell>
          <cell r="B179">
            <v>38807</v>
          </cell>
          <cell r="C179">
            <v>0</v>
          </cell>
          <cell r="D179">
            <v>121</v>
          </cell>
          <cell r="E179">
            <v>0</v>
          </cell>
          <cell r="F179">
            <v>34902</v>
          </cell>
          <cell r="G179">
            <v>0</v>
          </cell>
        </row>
        <row r="180">
          <cell r="A180">
            <v>45540</v>
          </cell>
          <cell r="B180">
            <v>38647</v>
          </cell>
          <cell r="C180">
            <v>0</v>
          </cell>
          <cell r="D180">
            <v>236</v>
          </cell>
          <cell r="E180">
            <v>0</v>
          </cell>
          <cell r="F180">
            <v>33211</v>
          </cell>
          <cell r="G180">
            <v>0</v>
          </cell>
        </row>
        <row r="181">
          <cell r="A181">
            <v>45539</v>
          </cell>
          <cell r="B181">
            <v>28298</v>
          </cell>
          <cell r="C181">
            <v>0</v>
          </cell>
          <cell r="D181">
            <v>64</v>
          </cell>
          <cell r="E181">
            <v>0</v>
          </cell>
          <cell r="F181">
            <v>23670</v>
          </cell>
          <cell r="G181">
            <v>0</v>
          </cell>
        </row>
        <row r="182">
          <cell r="A182">
            <v>45538</v>
          </cell>
          <cell r="B182">
            <v>10396</v>
          </cell>
          <cell r="C182">
            <v>0</v>
          </cell>
          <cell r="D182">
            <v>74</v>
          </cell>
          <cell r="E182">
            <v>10</v>
          </cell>
          <cell r="F182">
            <v>8699</v>
          </cell>
          <cell r="G182">
            <v>0</v>
          </cell>
        </row>
        <row r="183">
          <cell r="A183">
            <v>45537</v>
          </cell>
          <cell r="B183">
            <v>8247</v>
          </cell>
          <cell r="C183">
            <v>0</v>
          </cell>
          <cell r="D183">
            <v>122</v>
          </cell>
          <cell r="E183">
            <v>0</v>
          </cell>
          <cell r="F183">
            <v>6795</v>
          </cell>
          <cell r="G183">
            <v>0</v>
          </cell>
        </row>
        <row r="184">
          <cell r="A184">
            <v>45536</v>
          </cell>
          <cell r="B184">
            <v>8772</v>
          </cell>
          <cell r="C184">
            <v>0</v>
          </cell>
          <cell r="D184">
            <v>298</v>
          </cell>
          <cell r="E184">
            <v>0</v>
          </cell>
          <cell r="F184">
            <v>6701</v>
          </cell>
          <cell r="G184">
            <v>0</v>
          </cell>
        </row>
        <row r="185">
          <cell r="A185">
            <v>45535</v>
          </cell>
          <cell r="B185">
            <v>3796</v>
          </cell>
          <cell r="C185">
            <v>0</v>
          </cell>
          <cell r="D185">
            <v>446</v>
          </cell>
          <cell r="E185">
            <v>0</v>
          </cell>
          <cell r="F185">
            <v>3076</v>
          </cell>
          <cell r="G185">
            <v>0</v>
          </cell>
        </row>
        <row r="186">
          <cell r="A186">
            <v>45534</v>
          </cell>
          <cell r="B186">
            <v>1517</v>
          </cell>
          <cell r="C186">
            <v>0</v>
          </cell>
          <cell r="D186">
            <v>196</v>
          </cell>
          <cell r="E186">
            <v>0</v>
          </cell>
          <cell r="F186">
            <v>1314</v>
          </cell>
          <cell r="G186">
            <v>0</v>
          </cell>
        </row>
        <row r="187">
          <cell r="A187">
            <v>45533</v>
          </cell>
          <cell r="B187">
            <v>203</v>
          </cell>
          <cell r="C187">
            <v>0</v>
          </cell>
          <cell r="D187">
            <v>0</v>
          </cell>
          <cell r="E187">
            <v>0</v>
          </cell>
          <cell r="F187">
            <v>149</v>
          </cell>
          <cell r="G187">
            <v>0</v>
          </cell>
        </row>
        <row r="188">
          <cell r="A188">
            <v>45532</v>
          </cell>
          <cell r="B188">
            <v>463</v>
          </cell>
          <cell r="C188">
            <v>0</v>
          </cell>
          <cell r="D188">
            <v>0</v>
          </cell>
          <cell r="E188">
            <v>0</v>
          </cell>
          <cell r="F188">
            <v>359</v>
          </cell>
          <cell r="G188">
            <v>0</v>
          </cell>
        </row>
        <row r="189">
          <cell r="A189">
            <v>45531</v>
          </cell>
          <cell r="B189">
            <v>723</v>
          </cell>
          <cell r="C189">
            <v>0</v>
          </cell>
          <cell r="D189">
            <v>0</v>
          </cell>
          <cell r="E189">
            <v>0</v>
          </cell>
          <cell r="F189">
            <v>623</v>
          </cell>
          <cell r="G189">
            <v>0</v>
          </cell>
        </row>
        <row r="190">
          <cell r="A190">
            <v>45530</v>
          </cell>
          <cell r="B190">
            <v>367</v>
          </cell>
          <cell r="C190">
            <v>0</v>
          </cell>
          <cell r="D190">
            <v>0</v>
          </cell>
          <cell r="E190">
            <v>0</v>
          </cell>
          <cell r="F190">
            <v>206</v>
          </cell>
          <cell r="G190">
            <v>0</v>
          </cell>
        </row>
        <row r="191">
          <cell r="A191">
            <v>45529</v>
          </cell>
          <cell r="B191">
            <v>408</v>
          </cell>
          <cell r="C191">
            <v>0</v>
          </cell>
          <cell r="D191">
            <v>0</v>
          </cell>
          <cell r="E191">
            <v>0</v>
          </cell>
          <cell r="F191">
            <v>292</v>
          </cell>
          <cell r="G191">
            <v>0</v>
          </cell>
        </row>
        <row r="192">
          <cell r="A192">
            <v>45528</v>
          </cell>
          <cell r="B192">
            <v>353</v>
          </cell>
          <cell r="C192">
            <v>0</v>
          </cell>
          <cell r="D192">
            <v>0</v>
          </cell>
          <cell r="E192">
            <v>0</v>
          </cell>
          <cell r="F192">
            <v>201</v>
          </cell>
          <cell r="G192">
            <v>0</v>
          </cell>
        </row>
        <row r="193">
          <cell r="A193">
            <v>45527</v>
          </cell>
          <cell r="B193">
            <v>234</v>
          </cell>
          <cell r="C193">
            <v>0</v>
          </cell>
          <cell r="D193">
            <v>0</v>
          </cell>
          <cell r="E193">
            <v>0</v>
          </cell>
          <cell r="F193">
            <v>143</v>
          </cell>
          <cell r="G193">
            <v>0</v>
          </cell>
        </row>
        <row r="194">
          <cell r="A194">
            <v>45526</v>
          </cell>
          <cell r="B194">
            <v>242</v>
          </cell>
          <cell r="C194">
            <v>0</v>
          </cell>
          <cell r="D194">
            <v>0</v>
          </cell>
          <cell r="E194">
            <v>0</v>
          </cell>
          <cell r="F194">
            <v>166</v>
          </cell>
          <cell r="G194">
            <v>0</v>
          </cell>
        </row>
        <row r="195">
          <cell r="A195">
            <v>45525</v>
          </cell>
          <cell r="B195">
            <v>344</v>
          </cell>
          <cell r="C195">
            <v>0</v>
          </cell>
          <cell r="D195">
            <v>0</v>
          </cell>
          <cell r="E195">
            <v>0</v>
          </cell>
          <cell r="F195">
            <v>211</v>
          </cell>
          <cell r="G195">
            <v>0</v>
          </cell>
        </row>
        <row r="196">
          <cell r="A196">
            <v>45524</v>
          </cell>
          <cell r="B196">
            <v>303</v>
          </cell>
          <cell r="C196">
            <v>0</v>
          </cell>
          <cell r="D196">
            <v>0</v>
          </cell>
          <cell r="E196">
            <v>0</v>
          </cell>
          <cell r="F196">
            <v>181</v>
          </cell>
          <cell r="G196">
            <v>0</v>
          </cell>
        </row>
        <row r="197">
          <cell r="A197">
            <v>45523</v>
          </cell>
          <cell r="B197">
            <v>326</v>
          </cell>
          <cell r="C197">
            <v>0</v>
          </cell>
          <cell r="D197">
            <v>0</v>
          </cell>
          <cell r="E197">
            <v>0</v>
          </cell>
          <cell r="F197">
            <v>214</v>
          </cell>
          <cell r="G197">
            <v>0</v>
          </cell>
        </row>
        <row r="198">
          <cell r="A198">
            <v>45522</v>
          </cell>
          <cell r="B198">
            <v>608</v>
          </cell>
          <cell r="C198">
            <v>0</v>
          </cell>
          <cell r="D198">
            <v>0</v>
          </cell>
          <cell r="E198">
            <v>0</v>
          </cell>
          <cell r="F198">
            <v>420</v>
          </cell>
          <cell r="G198">
            <v>0</v>
          </cell>
        </row>
        <row r="199">
          <cell r="A199">
            <v>45521</v>
          </cell>
          <cell r="B199">
            <v>635</v>
          </cell>
          <cell r="C199">
            <v>0</v>
          </cell>
          <cell r="D199">
            <v>0</v>
          </cell>
          <cell r="E199">
            <v>0</v>
          </cell>
          <cell r="F199">
            <v>503</v>
          </cell>
          <cell r="G199">
            <v>0</v>
          </cell>
        </row>
        <row r="200">
          <cell r="A200">
            <v>45520</v>
          </cell>
          <cell r="B200">
            <v>1291</v>
          </cell>
          <cell r="C200">
            <v>0</v>
          </cell>
          <cell r="D200">
            <v>128</v>
          </cell>
          <cell r="E200">
            <v>0</v>
          </cell>
          <cell r="F200">
            <v>990</v>
          </cell>
          <cell r="G200">
            <v>0</v>
          </cell>
        </row>
        <row r="201">
          <cell r="A201">
            <v>45519</v>
          </cell>
          <cell r="B201">
            <v>574</v>
          </cell>
          <cell r="C201">
            <v>0</v>
          </cell>
          <cell r="D201">
            <v>78</v>
          </cell>
          <cell r="E201">
            <v>0</v>
          </cell>
          <cell r="F201">
            <v>471</v>
          </cell>
          <cell r="G201">
            <v>0</v>
          </cell>
        </row>
        <row r="202">
          <cell r="A202">
            <v>45518</v>
          </cell>
          <cell r="B202">
            <v>508</v>
          </cell>
          <cell r="C202">
            <v>0</v>
          </cell>
          <cell r="D202">
            <v>0</v>
          </cell>
          <cell r="E202">
            <v>0</v>
          </cell>
          <cell r="F202">
            <v>361</v>
          </cell>
          <cell r="G202">
            <v>0</v>
          </cell>
        </row>
        <row r="203">
          <cell r="A203">
            <v>45517</v>
          </cell>
          <cell r="B203">
            <v>1266</v>
          </cell>
          <cell r="C203">
            <v>1</v>
          </cell>
          <cell r="D203">
            <v>46</v>
          </cell>
          <cell r="E203">
            <v>0</v>
          </cell>
          <cell r="F203">
            <v>1100</v>
          </cell>
          <cell r="G203">
            <v>1</v>
          </cell>
        </row>
        <row r="204">
          <cell r="A204">
            <v>45516</v>
          </cell>
          <cell r="B204">
            <v>1203</v>
          </cell>
          <cell r="C204">
            <v>1</v>
          </cell>
          <cell r="D204">
            <v>65</v>
          </cell>
          <cell r="E204">
            <v>1</v>
          </cell>
          <cell r="F204">
            <v>972</v>
          </cell>
          <cell r="G204">
            <v>0</v>
          </cell>
        </row>
        <row r="205">
          <cell r="A205">
            <v>45515</v>
          </cell>
          <cell r="B205">
            <v>1441</v>
          </cell>
          <cell r="C205">
            <v>1</v>
          </cell>
          <cell r="D205">
            <v>61</v>
          </cell>
          <cell r="E205">
            <v>7</v>
          </cell>
          <cell r="F205">
            <v>1242</v>
          </cell>
          <cell r="G205">
            <v>0</v>
          </cell>
        </row>
        <row r="206">
          <cell r="A206">
            <v>45514</v>
          </cell>
          <cell r="B206">
            <v>839</v>
          </cell>
          <cell r="C206">
            <v>0</v>
          </cell>
          <cell r="D206">
            <v>0</v>
          </cell>
          <cell r="E206">
            <v>0</v>
          </cell>
          <cell r="F206">
            <v>632</v>
          </cell>
          <cell r="G206">
            <v>0</v>
          </cell>
        </row>
        <row r="207">
          <cell r="A207">
            <v>45513</v>
          </cell>
          <cell r="B207">
            <v>1620</v>
          </cell>
          <cell r="C207">
            <v>0</v>
          </cell>
          <cell r="D207">
            <v>149</v>
          </cell>
          <cell r="E207">
            <v>0</v>
          </cell>
          <cell r="F207">
            <v>1232</v>
          </cell>
          <cell r="G207">
            <v>0</v>
          </cell>
        </row>
        <row r="208">
          <cell r="A208">
            <v>45512</v>
          </cell>
          <cell r="B208">
            <v>1271</v>
          </cell>
          <cell r="C208">
            <v>0</v>
          </cell>
          <cell r="D208">
            <v>237</v>
          </cell>
          <cell r="E208">
            <v>0</v>
          </cell>
          <cell r="F208">
            <v>1085</v>
          </cell>
          <cell r="G208">
            <v>0</v>
          </cell>
        </row>
        <row r="209">
          <cell r="A209">
            <v>45511</v>
          </cell>
          <cell r="B209">
            <v>598</v>
          </cell>
          <cell r="C209">
            <v>0</v>
          </cell>
          <cell r="D209">
            <v>0</v>
          </cell>
          <cell r="E209">
            <v>0</v>
          </cell>
          <cell r="F209">
            <v>497</v>
          </cell>
          <cell r="G209">
            <v>0</v>
          </cell>
        </row>
        <row r="210">
          <cell r="A210">
            <v>45510</v>
          </cell>
          <cell r="B210">
            <v>1532</v>
          </cell>
          <cell r="C210">
            <v>0</v>
          </cell>
          <cell r="D210">
            <v>53</v>
          </cell>
          <cell r="E210">
            <v>4</v>
          </cell>
          <cell r="F210">
            <v>1341</v>
          </cell>
          <cell r="G210">
            <v>0</v>
          </cell>
        </row>
        <row r="211">
          <cell r="A211">
            <v>45509</v>
          </cell>
          <cell r="B211">
            <v>2978</v>
          </cell>
          <cell r="C211">
            <v>2</v>
          </cell>
          <cell r="D211">
            <v>218</v>
          </cell>
          <cell r="E211">
            <v>0</v>
          </cell>
          <cell r="F211">
            <v>2480</v>
          </cell>
          <cell r="G211">
            <v>2</v>
          </cell>
        </row>
        <row r="212">
          <cell r="A212">
            <v>45508</v>
          </cell>
          <cell r="B212">
            <v>1452</v>
          </cell>
          <cell r="C212">
            <v>0</v>
          </cell>
          <cell r="D212">
            <v>15</v>
          </cell>
          <cell r="E212">
            <v>0</v>
          </cell>
          <cell r="F212">
            <v>1071</v>
          </cell>
          <cell r="G212">
            <v>0</v>
          </cell>
        </row>
        <row r="213">
          <cell r="A213">
            <v>45507</v>
          </cell>
          <cell r="B213">
            <v>2277</v>
          </cell>
          <cell r="C213">
            <v>0</v>
          </cell>
          <cell r="D213">
            <v>204</v>
          </cell>
          <cell r="E213">
            <v>0</v>
          </cell>
          <cell r="F213">
            <v>1497</v>
          </cell>
          <cell r="G213">
            <v>0</v>
          </cell>
        </row>
        <row r="214">
          <cell r="A214">
            <v>45506</v>
          </cell>
          <cell r="B214">
            <v>5030</v>
          </cell>
          <cell r="C214">
            <v>9</v>
          </cell>
          <cell r="D214">
            <v>438</v>
          </cell>
          <cell r="E214">
            <v>0</v>
          </cell>
          <cell r="F214">
            <v>4010</v>
          </cell>
          <cell r="G214">
            <v>9</v>
          </cell>
        </row>
        <row r="215">
          <cell r="A215">
            <v>45505</v>
          </cell>
          <cell r="B215">
            <v>1295</v>
          </cell>
          <cell r="C215">
            <v>0</v>
          </cell>
          <cell r="D215">
            <v>94</v>
          </cell>
          <cell r="E215">
            <v>0</v>
          </cell>
          <cell r="F215">
            <v>1010</v>
          </cell>
          <cell r="G215">
            <v>0</v>
          </cell>
        </row>
        <row r="216">
          <cell r="A216">
            <v>45504</v>
          </cell>
          <cell r="B216">
            <v>1156</v>
          </cell>
          <cell r="C216">
            <v>0</v>
          </cell>
          <cell r="D216">
            <v>21</v>
          </cell>
          <cell r="E216">
            <v>0</v>
          </cell>
          <cell r="F216">
            <v>917</v>
          </cell>
          <cell r="G216">
            <v>0</v>
          </cell>
        </row>
        <row r="217">
          <cell r="A217">
            <v>45503</v>
          </cell>
          <cell r="B217">
            <v>1639</v>
          </cell>
          <cell r="C217">
            <v>0</v>
          </cell>
          <cell r="D217">
            <v>0</v>
          </cell>
          <cell r="E217">
            <v>0</v>
          </cell>
          <cell r="F217">
            <v>1432</v>
          </cell>
          <cell r="G217">
            <v>0</v>
          </cell>
        </row>
        <row r="218">
          <cell r="A218">
            <v>45502</v>
          </cell>
          <cell r="B218">
            <v>7248</v>
          </cell>
          <cell r="C218">
            <v>5</v>
          </cell>
          <cell r="D218">
            <v>262</v>
          </cell>
          <cell r="E218">
            <v>28</v>
          </cell>
          <cell r="F218">
            <v>6420</v>
          </cell>
          <cell r="G218">
            <v>0</v>
          </cell>
        </row>
        <row r="219">
          <cell r="A219">
            <v>45501</v>
          </cell>
          <cell r="B219">
            <v>11127</v>
          </cell>
          <cell r="C219">
            <v>0</v>
          </cell>
          <cell r="D219">
            <v>749</v>
          </cell>
          <cell r="E219">
            <v>0</v>
          </cell>
          <cell r="F219">
            <v>9545</v>
          </cell>
          <cell r="G219">
            <v>0</v>
          </cell>
        </row>
        <row r="220">
          <cell r="A220">
            <v>45500</v>
          </cell>
          <cell r="B220">
            <v>25865</v>
          </cell>
          <cell r="C220">
            <v>0</v>
          </cell>
          <cell r="D220">
            <v>21</v>
          </cell>
          <cell r="E220">
            <v>0</v>
          </cell>
          <cell r="F220">
            <v>23293</v>
          </cell>
          <cell r="G220">
            <v>0</v>
          </cell>
        </row>
        <row r="221">
          <cell r="A221">
            <v>45499</v>
          </cell>
          <cell r="B221">
            <v>16071</v>
          </cell>
          <cell r="C221">
            <v>0</v>
          </cell>
          <cell r="D221">
            <v>179</v>
          </cell>
          <cell r="E221">
            <v>26</v>
          </cell>
          <cell r="F221">
            <v>14660</v>
          </cell>
          <cell r="G221">
            <v>0</v>
          </cell>
        </row>
        <row r="222">
          <cell r="A222">
            <v>45498</v>
          </cell>
          <cell r="B222">
            <v>17327</v>
          </cell>
          <cell r="C222">
            <v>0</v>
          </cell>
          <cell r="D222">
            <v>143</v>
          </cell>
          <cell r="E222">
            <v>0</v>
          </cell>
          <cell r="F222">
            <v>15664</v>
          </cell>
          <cell r="G222">
            <v>0</v>
          </cell>
        </row>
        <row r="223">
          <cell r="A223">
            <v>45497</v>
          </cell>
          <cell r="B223">
            <v>19048</v>
          </cell>
          <cell r="C223">
            <v>0</v>
          </cell>
          <cell r="D223">
            <v>0</v>
          </cell>
          <cell r="E223">
            <v>0</v>
          </cell>
          <cell r="F223">
            <v>17136</v>
          </cell>
          <cell r="G223">
            <v>0</v>
          </cell>
        </row>
        <row r="224">
          <cell r="A224">
            <v>45496</v>
          </cell>
          <cell r="B224">
            <v>8718</v>
          </cell>
          <cell r="C224">
            <v>3</v>
          </cell>
          <cell r="D224">
            <v>68</v>
          </cell>
          <cell r="E224">
            <v>0</v>
          </cell>
          <cell r="F224">
            <v>7617</v>
          </cell>
          <cell r="G224">
            <v>3</v>
          </cell>
        </row>
        <row r="225">
          <cell r="A225">
            <v>45495</v>
          </cell>
          <cell r="B225">
            <v>4032</v>
          </cell>
          <cell r="C225">
            <v>0</v>
          </cell>
          <cell r="D225">
            <v>56</v>
          </cell>
          <cell r="E225">
            <v>0</v>
          </cell>
          <cell r="F225">
            <v>3450</v>
          </cell>
          <cell r="G225">
            <v>0</v>
          </cell>
        </row>
        <row r="226">
          <cell r="A226">
            <v>45494</v>
          </cell>
          <cell r="B226">
            <v>2724</v>
          </cell>
          <cell r="C226">
            <v>5</v>
          </cell>
          <cell r="D226">
            <v>98</v>
          </cell>
          <cell r="E226">
            <v>4</v>
          </cell>
          <cell r="F226">
            <v>2118</v>
          </cell>
          <cell r="G226">
            <v>0</v>
          </cell>
        </row>
        <row r="227">
          <cell r="A227">
            <v>45493</v>
          </cell>
          <cell r="B227">
            <v>1113</v>
          </cell>
          <cell r="C227">
            <v>0</v>
          </cell>
          <cell r="D227">
            <v>173</v>
          </cell>
          <cell r="E227">
            <v>0</v>
          </cell>
          <cell r="F227">
            <v>823</v>
          </cell>
          <cell r="G227">
            <v>0</v>
          </cell>
        </row>
        <row r="228">
          <cell r="A228">
            <v>45492</v>
          </cell>
          <cell r="B228">
            <v>1120</v>
          </cell>
          <cell r="C228">
            <v>0</v>
          </cell>
          <cell r="D228">
            <v>37</v>
          </cell>
          <cell r="E228">
            <v>3</v>
          </cell>
          <cell r="F228">
            <v>1003</v>
          </cell>
          <cell r="G228">
            <v>0</v>
          </cell>
        </row>
        <row r="229">
          <cell r="A229">
            <v>45491</v>
          </cell>
          <cell r="B229">
            <v>1198</v>
          </cell>
          <cell r="C229">
            <v>0</v>
          </cell>
          <cell r="D229">
            <v>70</v>
          </cell>
          <cell r="E229">
            <v>0</v>
          </cell>
          <cell r="F229">
            <v>1028</v>
          </cell>
          <cell r="G229">
            <v>0</v>
          </cell>
        </row>
        <row r="230">
          <cell r="A230">
            <v>45490</v>
          </cell>
          <cell r="B230">
            <v>570</v>
          </cell>
          <cell r="C230">
            <v>0</v>
          </cell>
          <cell r="D230">
            <v>0</v>
          </cell>
          <cell r="E230">
            <v>0</v>
          </cell>
          <cell r="F230">
            <v>431</v>
          </cell>
          <cell r="G230">
            <v>0</v>
          </cell>
        </row>
        <row r="231">
          <cell r="A231">
            <v>45489</v>
          </cell>
          <cell r="B231">
            <v>1280</v>
          </cell>
          <cell r="C231">
            <v>1</v>
          </cell>
          <cell r="D231">
            <v>55</v>
          </cell>
          <cell r="E231">
            <v>0</v>
          </cell>
          <cell r="F231">
            <v>1005</v>
          </cell>
          <cell r="G231">
            <v>1</v>
          </cell>
        </row>
        <row r="232">
          <cell r="A232">
            <v>45488</v>
          </cell>
          <cell r="B232">
            <v>900</v>
          </cell>
          <cell r="C232">
            <v>0</v>
          </cell>
          <cell r="D232">
            <v>15</v>
          </cell>
          <cell r="E232">
            <v>7</v>
          </cell>
          <cell r="F232">
            <v>730</v>
          </cell>
          <cell r="G232">
            <v>0</v>
          </cell>
        </row>
        <row r="233">
          <cell r="A233">
            <v>45487</v>
          </cell>
          <cell r="B233">
            <v>755</v>
          </cell>
          <cell r="C233">
            <v>0</v>
          </cell>
          <cell r="D233">
            <v>0</v>
          </cell>
          <cell r="E233">
            <v>0</v>
          </cell>
          <cell r="F233">
            <v>623</v>
          </cell>
          <cell r="G233">
            <v>0</v>
          </cell>
        </row>
        <row r="234">
          <cell r="A234">
            <v>45486</v>
          </cell>
          <cell r="B234">
            <v>1471</v>
          </cell>
          <cell r="C234">
            <v>0</v>
          </cell>
          <cell r="D234">
            <v>49</v>
          </cell>
          <cell r="E234">
            <v>0</v>
          </cell>
          <cell r="F234">
            <v>1198</v>
          </cell>
          <cell r="G234">
            <v>0</v>
          </cell>
        </row>
        <row r="235">
          <cell r="A235">
            <v>45485</v>
          </cell>
          <cell r="B235">
            <v>1314</v>
          </cell>
          <cell r="C235">
            <v>1</v>
          </cell>
          <cell r="D235">
            <v>101</v>
          </cell>
          <cell r="E235">
            <v>0</v>
          </cell>
          <cell r="F235">
            <v>1155</v>
          </cell>
          <cell r="G235">
            <v>1</v>
          </cell>
        </row>
        <row r="236">
          <cell r="A236">
            <v>45484</v>
          </cell>
          <cell r="B236">
            <v>785</v>
          </cell>
          <cell r="C236">
            <v>0</v>
          </cell>
          <cell r="D236">
            <v>0</v>
          </cell>
          <cell r="E236">
            <v>0</v>
          </cell>
          <cell r="F236">
            <v>623</v>
          </cell>
          <cell r="G236">
            <v>0</v>
          </cell>
        </row>
        <row r="237">
          <cell r="A237">
            <v>45483</v>
          </cell>
          <cell r="B237">
            <v>1731</v>
          </cell>
          <cell r="C237">
            <v>1</v>
          </cell>
          <cell r="D237">
            <v>38</v>
          </cell>
          <cell r="E237">
            <v>6</v>
          </cell>
          <cell r="F237">
            <v>1535</v>
          </cell>
          <cell r="G237">
            <v>0</v>
          </cell>
        </row>
        <row r="238">
          <cell r="A238">
            <v>45482</v>
          </cell>
          <cell r="B238">
            <v>2659</v>
          </cell>
          <cell r="C238">
            <v>2</v>
          </cell>
          <cell r="D238">
            <v>126</v>
          </cell>
          <cell r="E238">
            <v>0</v>
          </cell>
          <cell r="F238">
            <v>2066</v>
          </cell>
          <cell r="G238">
            <v>2</v>
          </cell>
        </row>
        <row r="239">
          <cell r="A239">
            <v>45481</v>
          </cell>
          <cell r="B239">
            <v>2485</v>
          </cell>
          <cell r="C239">
            <v>0</v>
          </cell>
          <cell r="D239">
            <v>157</v>
          </cell>
          <cell r="E239">
            <v>29</v>
          </cell>
          <cell r="F239">
            <v>2009</v>
          </cell>
          <cell r="G239">
            <v>0</v>
          </cell>
        </row>
        <row r="240">
          <cell r="A240">
            <v>45480</v>
          </cell>
          <cell r="B240">
            <v>2005</v>
          </cell>
          <cell r="C240">
            <v>0</v>
          </cell>
          <cell r="D240">
            <v>11615</v>
          </cell>
          <cell r="E240">
            <v>0</v>
          </cell>
          <cell r="F240">
            <v>1558</v>
          </cell>
          <cell r="G240">
            <v>0</v>
          </cell>
        </row>
        <row r="241">
          <cell r="A241">
            <v>45479</v>
          </cell>
          <cell r="B241">
            <v>1440</v>
          </cell>
          <cell r="C241">
            <v>0</v>
          </cell>
          <cell r="D241">
            <v>116</v>
          </cell>
          <cell r="E241">
            <v>0</v>
          </cell>
          <cell r="F241">
            <v>1071</v>
          </cell>
          <cell r="G241">
            <v>0</v>
          </cell>
        </row>
        <row r="242">
          <cell r="A242">
            <v>45478</v>
          </cell>
          <cell r="B242">
            <v>947</v>
          </cell>
          <cell r="C242">
            <v>0</v>
          </cell>
          <cell r="D242">
            <v>27</v>
          </cell>
          <cell r="E242">
            <v>4</v>
          </cell>
          <cell r="F242">
            <v>783</v>
          </cell>
          <cell r="G242">
            <v>0</v>
          </cell>
        </row>
        <row r="243">
          <cell r="A243">
            <v>45477</v>
          </cell>
          <cell r="B243">
            <v>659</v>
          </cell>
          <cell r="C243">
            <v>0</v>
          </cell>
          <cell r="D243">
            <v>0</v>
          </cell>
          <cell r="E243">
            <v>0</v>
          </cell>
          <cell r="F243">
            <v>529</v>
          </cell>
          <cell r="G243">
            <v>0</v>
          </cell>
        </row>
        <row r="244">
          <cell r="A244">
            <v>45476</v>
          </cell>
          <cell r="B244">
            <v>1116</v>
          </cell>
          <cell r="C244">
            <v>0</v>
          </cell>
          <cell r="D244">
            <v>10</v>
          </cell>
          <cell r="E244">
            <v>3</v>
          </cell>
          <cell r="F244">
            <v>940</v>
          </cell>
          <cell r="G244">
            <v>0</v>
          </cell>
        </row>
        <row r="245">
          <cell r="A245">
            <v>45475</v>
          </cell>
          <cell r="B245">
            <v>2302</v>
          </cell>
          <cell r="C245">
            <v>1</v>
          </cell>
          <cell r="D245">
            <v>104</v>
          </cell>
          <cell r="E245">
            <v>19</v>
          </cell>
          <cell r="F245">
            <v>1961</v>
          </cell>
          <cell r="G245">
            <v>0</v>
          </cell>
        </row>
        <row r="246">
          <cell r="A246">
            <v>45474</v>
          </cell>
          <cell r="B246">
            <v>1489</v>
          </cell>
          <cell r="C246">
            <v>2</v>
          </cell>
          <cell r="D246">
            <v>32</v>
          </cell>
          <cell r="E246">
            <v>0</v>
          </cell>
          <cell r="F246">
            <v>1245</v>
          </cell>
          <cell r="G246">
            <v>2</v>
          </cell>
        </row>
        <row r="247">
          <cell r="A247">
            <v>45473</v>
          </cell>
          <cell r="B247">
            <v>1243</v>
          </cell>
          <cell r="C247">
            <v>0</v>
          </cell>
          <cell r="D247">
            <v>20</v>
          </cell>
          <cell r="E247">
            <v>0</v>
          </cell>
          <cell r="F247">
            <v>961</v>
          </cell>
          <cell r="G247">
            <v>0</v>
          </cell>
        </row>
        <row r="248">
          <cell r="A248">
            <v>45472</v>
          </cell>
          <cell r="B248">
            <v>1253</v>
          </cell>
          <cell r="C248">
            <v>0</v>
          </cell>
          <cell r="D248">
            <v>8</v>
          </cell>
          <cell r="E248">
            <v>0</v>
          </cell>
          <cell r="F248">
            <v>1019</v>
          </cell>
          <cell r="G248">
            <v>0</v>
          </cell>
        </row>
        <row r="249">
          <cell r="A249">
            <v>45471</v>
          </cell>
          <cell r="B249">
            <v>1116</v>
          </cell>
          <cell r="C249">
            <v>1</v>
          </cell>
          <cell r="D249">
            <v>31</v>
          </cell>
          <cell r="E249">
            <v>0</v>
          </cell>
          <cell r="F249">
            <v>864</v>
          </cell>
          <cell r="G249">
            <v>1</v>
          </cell>
        </row>
        <row r="250">
          <cell r="A250">
            <v>45470</v>
          </cell>
          <cell r="B250">
            <v>4232</v>
          </cell>
          <cell r="C250">
            <v>0</v>
          </cell>
          <cell r="D250">
            <v>20</v>
          </cell>
          <cell r="E250">
            <v>4</v>
          </cell>
          <cell r="F250">
            <v>3555</v>
          </cell>
          <cell r="G250">
            <v>0</v>
          </cell>
        </row>
        <row r="251">
          <cell r="A251">
            <v>45469</v>
          </cell>
          <cell r="B251">
            <v>6421</v>
          </cell>
          <cell r="C251">
            <v>0</v>
          </cell>
          <cell r="D251">
            <v>34</v>
          </cell>
          <cell r="E251">
            <v>0</v>
          </cell>
          <cell r="F251">
            <v>5550</v>
          </cell>
          <cell r="G251">
            <v>0</v>
          </cell>
        </row>
        <row r="252">
          <cell r="A252">
            <v>45468</v>
          </cell>
          <cell r="B252">
            <v>5915</v>
          </cell>
          <cell r="C252">
            <v>0</v>
          </cell>
          <cell r="D252">
            <v>22</v>
          </cell>
          <cell r="E252">
            <v>0</v>
          </cell>
          <cell r="F252">
            <v>5195</v>
          </cell>
          <cell r="G252">
            <v>0</v>
          </cell>
        </row>
        <row r="253">
          <cell r="A253">
            <v>45467</v>
          </cell>
          <cell r="B253">
            <v>6298</v>
          </cell>
          <cell r="C253">
            <v>1</v>
          </cell>
          <cell r="D253">
            <v>42</v>
          </cell>
          <cell r="E253">
            <v>0</v>
          </cell>
          <cell r="F253">
            <v>5737</v>
          </cell>
          <cell r="G253">
            <v>1</v>
          </cell>
        </row>
        <row r="254">
          <cell r="A254">
            <v>45466</v>
          </cell>
          <cell r="B254">
            <v>6205</v>
          </cell>
          <cell r="C254">
            <v>2</v>
          </cell>
          <cell r="D254">
            <v>172</v>
          </cell>
          <cell r="E254">
            <v>0</v>
          </cell>
          <cell r="F254">
            <v>5347</v>
          </cell>
          <cell r="G254">
            <v>2</v>
          </cell>
        </row>
        <row r="255">
          <cell r="A255">
            <v>45465</v>
          </cell>
          <cell r="B255">
            <v>10218</v>
          </cell>
          <cell r="C255">
            <v>0</v>
          </cell>
          <cell r="D255">
            <v>44</v>
          </cell>
          <cell r="E255">
            <v>0</v>
          </cell>
          <cell r="F255">
            <v>9233</v>
          </cell>
          <cell r="G255">
            <v>0</v>
          </cell>
        </row>
        <row r="256">
          <cell r="A256">
            <v>45464</v>
          </cell>
          <cell r="B256">
            <v>13592</v>
          </cell>
          <cell r="C256">
            <v>0</v>
          </cell>
          <cell r="D256">
            <v>283</v>
          </cell>
          <cell r="E256">
            <v>0</v>
          </cell>
          <cell r="F256">
            <v>12033</v>
          </cell>
          <cell r="G256">
            <v>0</v>
          </cell>
        </row>
        <row r="257">
          <cell r="A257">
            <v>45463</v>
          </cell>
          <cell r="B257">
            <v>8350</v>
          </cell>
          <cell r="C257">
            <v>0</v>
          </cell>
          <cell r="D257">
            <v>55</v>
          </cell>
          <cell r="E257">
            <v>0</v>
          </cell>
          <cell r="F257">
            <v>7268</v>
          </cell>
          <cell r="G257">
            <v>0</v>
          </cell>
        </row>
        <row r="258">
          <cell r="A258">
            <v>45462</v>
          </cell>
          <cell r="B258">
            <v>5092</v>
          </cell>
          <cell r="C258">
            <v>0</v>
          </cell>
          <cell r="D258">
            <v>22</v>
          </cell>
          <cell r="E258">
            <v>0</v>
          </cell>
          <cell r="F258">
            <v>4251</v>
          </cell>
          <cell r="G258">
            <v>0</v>
          </cell>
        </row>
        <row r="259">
          <cell r="A259">
            <v>45461</v>
          </cell>
          <cell r="B259">
            <v>5673</v>
          </cell>
          <cell r="C259">
            <v>0</v>
          </cell>
          <cell r="D259">
            <v>38</v>
          </cell>
          <cell r="E259">
            <v>0</v>
          </cell>
          <cell r="F259">
            <v>4523</v>
          </cell>
          <cell r="G259">
            <v>0</v>
          </cell>
        </row>
        <row r="260">
          <cell r="A260">
            <v>45460</v>
          </cell>
          <cell r="B260">
            <v>2793</v>
          </cell>
          <cell r="C260">
            <v>0</v>
          </cell>
          <cell r="D260">
            <v>0</v>
          </cell>
          <cell r="E260">
            <v>0</v>
          </cell>
          <cell r="F260">
            <v>2398</v>
          </cell>
          <cell r="G260">
            <v>0</v>
          </cell>
        </row>
        <row r="261">
          <cell r="A261">
            <v>45459</v>
          </cell>
          <cell r="B261">
            <v>1603</v>
          </cell>
          <cell r="C261">
            <v>0</v>
          </cell>
          <cell r="D261">
            <v>9</v>
          </cell>
          <cell r="E261">
            <v>0</v>
          </cell>
          <cell r="F261">
            <v>1273</v>
          </cell>
          <cell r="G261">
            <v>0</v>
          </cell>
        </row>
        <row r="262">
          <cell r="A262">
            <v>45458</v>
          </cell>
          <cell r="B262">
            <v>1989</v>
          </cell>
          <cell r="C262">
            <v>0</v>
          </cell>
          <cell r="D262">
            <v>112</v>
          </cell>
          <cell r="E262">
            <v>0</v>
          </cell>
          <cell r="F262">
            <v>1355</v>
          </cell>
          <cell r="G262">
            <v>0</v>
          </cell>
        </row>
        <row r="263">
          <cell r="A263">
            <v>45457</v>
          </cell>
          <cell r="B263">
            <v>1203</v>
          </cell>
          <cell r="C263">
            <v>0</v>
          </cell>
          <cell r="D263">
            <v>28</v>
          </cell>
          <cell r="E263">
            <v>0</v>
          </cell>
          <cell r="F263">
            <v>873</v>
          </cell>
          <cell r="G263">
            <v>0</v>
          </cell>
        </row>
        <row r="264">
          <cell r="A264">
            <v>45456</v>
          </cell>
          <cell r="B264">
            <v>1937</v>
          </cell>
          <cell r="C264">
            <v>0</v>
          </cell>
          <cell r="D264">
            <v>151</v>
          </cell>
          <cell r="E264">
            <v>0</v>
          </cell>
          <cell r="F264">
            <v>1474</v>
          </cell>
          <cell r="G264">
            <v>0</v>
          </cell>
        </row>
        <row r="265">
          <cell r="A265">
            <v>45455</v>
          </cell>
          <cell r="B265">
            <v>1880</v>
          </cell>
          <cell r="C265">
            <v>0</v>
          </cell>
          <cell r="D265">
            <v>0</v>
          </cell>
          <cell r="E265">
            <v>0</v>
          </cell>
          <cell r="F265">
            <v>1440</v>
          </cell>
          <cell r="G265">
            <v>0</v>
          </cell>
        </row>
        <row r="266">
          <cell r="A266">
            <v>45454</v>
          </cell>
          <cell r="B266">
            <v>1071</v>
          </cell>
          <cell r="C266">
            <v>3</v>
          </cell>
          <cell r="D266">
            <v>43</v>
          </cell>
          <cell r="E266">
            <v>4</v>
          </cell>
          <cell r="F266">
            <v>881</v>
          </cell>
          <cell r="G266">
            <v>0</v>
          </cell>
        </row>
        <row r="267">
          <cell r="A267">
            <v>45453</v>
          </cell>
          <cell r="B267">
            <v>1603</v>
          </cell>
          <cell r="C267">
            <v>2</v>
          </cell>
          <cell r="D267">
            <v>62</v>
          </cell>
          <cell r="E267">
            <v>0</v>
          </cell>
          <cell r="F267">
            <v>1262</v>
          </cell>
          <cell r="G267">
            <v>2</v>
          </cell>
        </row>
        <row r="268">
          <cell r="A268">
            <v>45452</v>
          </cell>
          <cell r="B268">
            <v>1438</v>
          </cell>
          <cell r="C268">
            <v>0</v>
          </cell>
          <cell r="D268">
            <v>107</v>
          </cell>
          <cell r="E268">
            <v>0</v>
          </cell>
          <cell r="F268">
            <v>1093</v>
          </cell>
          <cell r="G268">
            <v>0</v>
          </cell>
        </row>
        <row r="269">
          <cell r="A269">
            <v>45451</v>
          </cell>
          <cell r="B269">
            <v>1351</v>
          </cell>
          <cell r="C269">
            <v>0</v>
          </cell>
          <cell r="D269">
            <v>93</v>
          </cell>
          <cell r="E269">
            <v>0</v>
          </cell>
          <cell r="F269">
            <v>1115</v>
          </cell>
          <cell r="G269">
            <v>0</v>
          </cell>
        </row>
        <row r="270">
          <cell r="A270">
            <v>45450</v>
          </cell>
          <cell r="B270">
            <v>1498</v>
          </cell>
          <cell r="C270">
            <v>0</v>
          </cell>
          <cell r="D270">
            <v>35</v>
          </cell>
          <cell r="E270">
            <v>15</v>
          </cell>
          <cell r="F270">
            <v>1269</v>
          </cell>
          <cell r="G270">
            <v>0</v>
          </cell>
        </row>
        <row r="271">
          <cell r="A271">
            <v>45449</v>
          </cell>
          <cell r="B271">
            <v>1663</v>
          </cell>
          <cell r="C271">
            <v>0</v>
          </cell>
          <cell r="D271">
            <v>40</v>
          </cell>
          <cell r="E271">
            <v>0</v>
          </cell>
          <cell r="F271">
            <v>1432</v>
          </cell>
          <cell r="G271">
            <v>0</v>
          </cell>
        </row>
        <row r="272">
          <cell r="A272">
            <v>45448</v>
          </cell>
          <cell r="B272">
            <v>1367</v>
          </cell>
          <cell r="C272">
            <v>0</v>
          </cell>
          <cell r="D272">
            <v>6</v>
          </cell>
          <cell r="E272">
            <v>2</v>
          </cell>
          <cell r="F272">
            <v>1093</v>
          </cell>
          <cell r="G272">
            <v>0</v>
          </cell>
        </row>
        <row r="273">
          <cell r="A273">
            <v>45447</v>
          </cell>
          <cell r="B273">
            <v>4083</v>
          </cell>
          <cell r="C273">
            <v>1</v>
          </cell>
          <cell r="D273">
            <v>401</v>
          </cell>
          <cell r="E273">
            <v>0</v>
          </cell>
          <cell r="F273">
            <v>2711</v>
          </cell>
          <cell r="G273">
            <v>1</v>
          </cell>
        </row>
        <row r="274">
          <cell r="A274">
            <v>45446</v>
          </cell>
          <cell r="B274">
            <v>1650</v>
          </cell>
          <cell r="C274">
            <v>2</v>
          </cell>
          <cell r="D274">
            <v>29</v>
          </cell>
          <cell r="E274">
            <v>5</v>
          </cell>
          <cell r="F274">
            <v>1286</v>
          </cell>
          <cell r="G274">
            <v>0</v>
          </cell>
        </row>
        <row r="275">
          <cell r="A275">
            <v>45445</v>
          </cell>
          <cell r="B275">
            <v>2409</v>
          </cell>
          <cell r="C275">
            <v>0</v>
          </cell>
          <cell r="D275">
            <v>169</v>
          </cell>
          <cell r="E275">
            <v>0</v>
          </cell>
          <cell r="F275">
            <v>1730</v>
          </cell>
          <cell r="G275">
            <v>0</v>
          </cell>
        </row>
        <row r="276">
          <cell r="A276">
            <v>45444</v>
          </cell>
          <cell r="B276">
            <v>2895</v>
          </cell>
          <cell r="C276">
            <v>0</v>
          </cell>
          <cell r="D276">
            <v>4101</v>
          </cell>
          <cell r="E276">
            <v>0</v>
          </cell>
          <cell r="F276">
            <v>2082</v>
          </cell>
          <cell r="G276">
            <v>0</v>
          </cell>
        </row>
        <row r="277">
          <cell r="A277">
            <v>45443</v>
          </cell>
          <cell r="B277">
            <v>1200</v>
          </cell>
          <cell r="C277">
            <v>1</v>
          </cell>
          <cell r="D277">
            <v>50</v>
          </cell>
          <cell r="E277">
            <v>5</v>
          </cell>
          <cell r="F277">
            <v>940</v>
          </cell>
          <cell r="G277">
            <v>0</v>
          </cell>
        </row>
        <row r="278">
          <cell r="A278">
            <v>45442</v>
          </cell>
          <cell r="B278">
            <v>1193</v>
          </cell>
          <cell r="C278">
            <v>0</v>
          </cell>
          <cell r="D278">
            <v>53</v>
          </cell>
          <cell r="E278">
            <v>0</v>
          </cell>
          <cell r="F278">
            <v>995</v>
          </cell>
          <cell r="G278">
            <v>0</v>
          </cell>
        </row>
        <row r="279">
          <cell r="A279">
            <v>45441</v>
          </cell>
          <cell r="B279">
            <v>3308</v>
          </cell>
          <cell r="C279">
            <v>0</v>
          </cell>
          <cell r="D279">
            <v>114</v>
          </cell>
          <cell r="E279">
            <v>4</v>
          </cell>
          <cell r="F279">
            <v>2222</v>
          </cell>
          <cell r="G279">
            <v>0</v>
          </cell>
        </row>
        <row r="280">
          <cell r="A280">
            <v>45440</v>
          </cell>
          <cell r="B280">
            <v>1022</v>
          </cell>
          <cell r="C280">
            <v>1</v>
          </cell>
          <cell r="D280">
            <v>17</v>
          </cell>
          <cell r="E280">
            <v>0</v>
          </cell>
          <cell r="F280">
            <v>872</v>
          </cell>
          <cell r="G280">
            <v>1</v>
          </cell>
        </row>
        <row r="281">
          <cell r="A281">
            <v>45439</v>
          </cell>
          <cell r="B281">
            <v>1652</v>
          </cell>
          <cell r="C281">
            <v>0</v>
          </cell>
          <cell r="D281">
            <v>31</v>
          </cell>
          <cell r="E281">
            <v>4</v>
          </cell>
          <cell r="F281">
            <v>1227</v>
          </cell>
          <cell r="G281">
            <v>0</v>
          </cell>
        </row>
        <row r="282">
          <cell r="A282">
            <v>45438</v>
          </cell>
          <cell r="B282">
            <v>2057</v>
          </cell>
          <cell r="C282">
            <v>0</v>
          </cell>
          <cell r="D282">
            <v>200</v>
          </cell>
          <cell r="E282">
            <v>0</v>
          </cell>
          <cell r="F282">
            <v>1470</v>
          </cell>
          <cell r="G282">
            <v>0</v>
          </cell>
        </row>
        <row r="283">
          <cell r="A283">
            <v>45437</v>
          </cell>
          <cell r="B283">
            <v>1054</v>
          </cell>
          <cell r="C283">
            <v>0</v>
          </cell>
          <cell r="D283">
            <v>54</v>
          </cell>
          <cell r="E283">
            <v>0</v>
          </cell>
          <cell r="F283">
            <v>760</v>
          </cell>
          <cell r="G283">
            <v>0</v>
          </cell>
        </row>
        <row r="284">
          <cell r="A284">
            <v>45436</v>
          </cell>
          <cell r="B284">
            <v>878</v>
          </cell>
          <cell r="C284">
            <v>0</v>
          </cell>
          <cell r="D284">
            <v>32</v>
          </cell>
          <cell r="E284">
            <v>2</v>
          </cell>
          <cell r="F284">
            <v>706</v>
          </cell>
          <cell r="G284">
            <v>0</v>
          </cell>
        </row>
        <row r="285">
          <cell r="A285">
            <v>45435</v>
          </cell>
          <cell r="B285">
            <v>1141</v>
          </cell>
          <cell r="C285">
            <v>0</v>
          </cell>
          <cell r="D285">
            <v>30</v>
          </cell>
          <cell r="E285">
            <v>0</v>
          </cell>
          <cell r="F285">
            <v>945</v>
          </cell>
          <cell r="G285">
            <v>0</v>
          </cell>
        </row>
        <row r="286">
          <cell r="A286">
            <v>45434</v>
          </cell>
          <cell r="B286">
            <v>1402</v>
          </cell>
          <cell r="C286">
            <v>0</v>
          </cell>
          <cell r="D286">
            <v>29</v>
          </cell>
          <cell r="E286">
            <v>3</v>
          </cell>
          <cell r="F286">
            <v>1126</v>
          </cell>
          <cell r="G286">
            <v>0</v>
          </cell>
        </row>
        <row r="287">
          <cell r="A287">
            <v>45433</v>
          </cell>
          <cell r="B287">
            <v>1963</v>
          </cell>
          <cell r="C287">
            <v>0</v>
          </cell>
          <cell r="D287">
            <v>84</v>
          </cell>
          <cell r="E287">
            <v>0</v>
          </cell>
          <cell r="F287">
            <v>1593</v>
          </cell>
          <cell r="G287">
            <v>0</v>
          </cell>
        </row>
        <row r="288">
          <cell r="A288">
            <v>45432</v>
          </cell>
          <cell r="B288">
            <v>1853</v>
          </cell>
          <cell r="C288">
            <v>12</v>
          </cell>
          <cell r="D288">
            <v>190</v>
          </cell>
          <cell r="E288">
            <v>20</v>
          </cell>
          <cell r="F288">
            <v>1634</v>
          </cell>
          <cell r="G288">
            <v>0</v>
          </cell>
        </row>
        <row r="289">
          <cell r="A289">
            <v>45431</v>
          </cell>
          <cell r="B289">
            <v>1024</v>
          </cell>
          <cell r="C289">
            <v>1</v>
          </cell>
          <cell r="D289">
            <v>20</v>
          </cell>
          <cell r="E289">
            <v>2</v>
          </cell>
          <cell r="F289">
            <v>814</v>
          </cell>
          <cell r="G289">
            <v>0</v>
          </cell>
        </row>
        <row r="290">
          <cell r="A290">
            <v>45430</v>
          </cell>
          <cell r="B290">
            <v>1294</v>
          </cell>
          <cell r="C290">
            <v>0</v>
          </cell>
          <cell r="D290">
            <v>20</v>
          </cell>
          <cell r="E290">
            <v>0</v>
          </cell>
          <cell r="F290">
            <v>1068</v>
          </cell>
          <cell r="G290">
            <v>0</v>
          </cell>
        </row>
        <row r="291">
          <cell r="A291">
            <v>45429</v>
          </cell>
          <cell r="B291">
            <v>1511</v>
          </cell>
          <cell r="C291">
            <v>0</v>
          </cell>
          <cell r="D291">
            <v>18</v>
          </cell>
          <cell r="E291">
            <v>0</v>
          </cell>
          <cell r="F291">
            <v>1326</v>
          </cell>
          <cell r="G291">
            <v>0</v>
          </cell>
        </row>
        <row r="292">
          <cell r="A292">
            <v>45428</v>
          </cell>
          <cell r="B292">
            <v>1854</v>
          </cell>
          <cell r="C292">
            <v>0</v>
          </cell>
          <cell r="D292">
            <v>76</v>
          </cell>
          <cell r="E292">
            <v>0</v>
          </cell>
          <cell r="F292">
            <v>1382</v>
          </cell>
          <cell r="G292">
            <v>0</v>
          </cell>
        </row>
        <row r="293">
          <cell r="A293">
            <v>45427</v>
          </cell>
          <cell r="B293">
            <v>1520</v>
          </cell>
          <cell r="C293">
            <v>2</v>
          </cell>
          <cell r="D293">
            <v>54</v>
          </cell>
          <cell r="E293">
            <v>1</v>
          </cell>
          <cell r="F293">
            <v>1177</v>
          </cell>
          <cell r="G293">
            <v>0</v>
          </cell>
        </row>
        <row r="294">
          <cell r="A294">
            <v>45426</v>
          </cell>
          <cell r="B294">
            <v>1178</v>
          </cell>
          <cell r="C294">
            <v>0</v>
          </cell>
          <cell r="D294">
            <v>24</v>
          </cell>
          <cell r="E294">
            <v>0</v>
          </cell>
          <cell r="F294">
            <v>883</v>
          </cell>
          <cell r="G294">
            <v>0</v>
          </cell>
        </row>
        <row r="295">
          <cell r="A295">
            <v>45425</v>
          </cell>
          <cell r="B295">
            <v>1870</v>
          </cell>
          <cell r="C295">
            <v>1</v>
          </cell>
          <cell r="D295">
            <v>70</v>
          </cell>
          <cell r="E295">
            <v>10</v>
          </cell>
          <cell r="F295">
            <v>1458</v>
          </cell>
          <cell r="G295">
            <v>0</v>
          </cell>
        </row>
        <row r="296">
          <cell r="A296">
            <v>45424</v>
          </cell>
          <cell r="B296">
            <v>2454</v>
          </cell>
          <cell r="C296">
            <v>0</v>
          </cell>
          <cell r="D296">
            <v>203</v>
          </cell>
          <cell r="E296">
            <v>0</v>
          </cell>
          <cell r="F296">
            <v>1753</v>
          </cell>
          <cell r="G296">
            <v>0</v>
          </cell>
        </row>
        <row r="297">
          <cell r="A297">
            <v>45423</v>
          </cell>
          <cell r="B297">
            <v>1993</v>
          </cell>
          <cell r="C297">
            <v>0</v>
          </cell>
          <cell r="D297">
            <v>58</v>
          </cell>
          <cell r="E297">
            <v>0</v>
          </cell>
          <cell r="F297">
            <v>1569</v>
          </cell>
          <cell r="G297">
            <v>0</v>
          </cell>
        </row>
        <row r="298">
          <cell r="A298">
            <v>45422</v>
          </cell>
          <cell r="B298">
            <v>2121</v>
          </cell>
          <cell r="C298">
            <v>97</v>
          </cell>
          <cell r="D298">
            <v>791</v>
          </cell>
          <cell r="E298">
            <v>67</v>
          </cell>
          <cell r="F298">
            <v>1735</v>
          </cell>
          <cell r="G298">
            <v>0</v>
          </cell>
        </row>
        <row r="299">
          <cell r="A299">
            <v>45421</v>
          </cell>
          <cell r="B299">
            <v>1219</v>
          </cell>
          <cell r="C299">
            <v>0</v>
          </cell>
          <cell r="D299">
            <v>35</v>
          </cell>
          <cell r="E299">
            <v>0</v>
          </cell>
          <cell r="F299">
            <v>1011</v>
          </cell>
          <cell r="G299">
            <v>0</v>
          </cell>
        </row>
        <row r="300">
          <cell r="A300">
            <v>45420</v>
          </cell>
          <cell r="B300">
            <v>1752</v>
          </cell>
          <cell r="C300">
            <v>0</v>
          </cell>
          <cell r="D300">
            <v>14</v>
          </cell>
          <cell r="E300">
            <v>9</v>
          </cell>
          <cell r="F300">
            <v>1303</v>
          </cell>
          <cell r="G300">
            <v>0</v>
          </cell>
        </row>
        <row r="301">
          <cell r="A301">
            <v>45419</v>
          </cell>
          <cell r="B301">
            <v>1812</v>
          </cell>
          <cell r="C301">
            <v>4</v>
          </cell>
          <cell r="D301">
            <v>103</v>
          </cell>
          <cell r="E301">
            <v>0</v>
          </cell>
          <cell r="F301">
            <v>1240</v>
          </cell>
          <cell r="G301">
            <v>4</v>
          </cell>
        </row>
        <row r="302">
          <cell r="A302">
            <v>45418</v>
          </cell>
          <cell r="B302">
            <v>2185</v>
          </cell>
          <cell r="C302">
            <v>0</v>
          </cell>
          <cell r="D302">
            <v>56</v>
          </cell>
          <cell r="E302">
            <v>20</v>
          </cell>
          <cell r="F302">
            <v>1512</v>
          </cell>
          <cell r="G302">
            <v>0</v>
          </cell>
        </row>
        <row r="303">
          <cell r="A303">
            <v>45417</v>
          </cell>
          <cell r="B303">
            <v>3760</v>
          </cell>
          <cell r="C303">
            <v>0</v>
          </cell>
          <cell r="D303">
            <v>41</v>
          </cell>
          <cell r="E303">
            <v>0</v>
          </cell>
          <cell r="F303">
            <v>3187</v>
          </cell>
          <cell r="G303">
            <v>0</v>
          </cell>
        </row>
        <row r="304">
          <cell r="A304">
            <v>45416</v>
          </cell>
          <cell r="B304">
            <v>3907</v>
          </cell>
          <cell r="C304">
            <v>0</v>
          </cell>
          <cell r="D304">
            <v>39</v>
          </cell>
          <cell r="E304">
            <v>0</v>
          </cell>
          <cell r="F304">
            <v>3259</v>
          </cell>
          <cell r="G304">
            <v>0</v>
          </cell>
        </row>
        <row r="305">
          <cell r="A305">
            <v>45415</v>
          </cell>
          <cell r="B305">
            <v>4263</v>
          </cell>
          <cell r="C305">
            <v>2</v>
          </cell>
          <cell r="D305">
            <v>92</v>
          </cell>
          <cell r="E305">
            <v>0</v>
          </cell>
          <cell r="F305">
            <v>3391</v>
          </cell>
          <cell r="G305">
            <v>2</v>
          </cell>
        </row>
        <row r="306">
          <cell r="A306">
            <v>45414</v>
          </cell>
          <cell r="B306">
            <v>3831</v>
          </cell>
          <cell r="C306">
            <v>0</v>
          </cell>
          <cell r="D306">
            <v>218</v>
          </cell>
          <cell r="E306">
            <v>0</v>
          </cell>
          <cell r="F306">
            <v>3145</v>
          </cell>
          <cell r="G306">
            <v>0</v>
          </cell>
        </row>
        <row r="307">
          <cell r="A307">
            <v>45413</v>
          </cell>
          <cell r="B307">
            <v>4345</v>
          </cell>
          <cell r="C307">
            <v>0</v>
          </cell>
          <cell r="D307">
            <v>164</v>
          </cell>
          <cell r="E307">
            <v>0</v>
          </cell>
          <cell r="F307">
            <v>3690</v>
          </cell>
          <cell r="G307">
            <v>0</v>
          </cell>
        </row>
        <row r="308">
          <cell r="A308">
            <v>45412</v>
          </cell>
          <cell r="B308">
            <v>6235</v>
          </cell>
          <cell r="C308">
            <v>0</v>
          </cell>
          <cell r="D308">
            <v>209</v>
          </cell>
          <cell r="E308">
            <v>0</v>
          </cell>
          <cell r="F308">
            <v>4816</v>
          </cell>
          <cell r="G308">
            <v>0</v>
          </cell>
        </row>
        <row r="309">
          <cell r="A309">
            <v>45411</v>
          </cell>
          <cell r="B309">
            <v>6817</v>
          </cell>
          <cell r="C309">
            <v>1</v>
          </cell>
          <cell r="D309">
            <v>314</v>
          </cell>
          <cell r="E309">
            <v>0</v>
          </cell>
          <cell r="F309">
            <v>5498</v>
          </cell>
          <cell r="G309">
            <v>1</v>
          </cell>
        </row>
        <row r="310">
          <cell r="A310">
            <v>45410</v>
          </cell>
          <cell r="B310">
            <v>8028</v>
          </cell>
          <cell r="C310">
            <v>3</v>
          </cell>
          <cell r="D310">
            <v>329</v>
          </cell>
          <cell r="E310">
            <v>0</v>
          </cell>
          <cell r="F310">
            <v>6696</v>
          </cell>
          <cell r="G310">
            <v>3</v>
          </cell>
        </row>
        <row r="311">
          <cell r="A311">
            <v>45409</v>
          </cell>
          <cell r="B311">
            <v>7212</v>
          </cell>
          <cell r="C311">
            <v>0</v>
          </cell>
          <cell r="D311">
            <v>278</v>
          </cell>
          <cell r="E311">
            <v>55</v>
          </cell>
          <cell r="F311">
            <v>6474</v>
          </cell>
          <cell r="G311">
            <v>0</v>
          </cell>
        </row>
        <row r="312">
          <cell r="A312">
            <v>45408</v>
          </cell>
          <cell r="B312">
            <v>5012</v>
          </cell>
          <cell r="C312">
            <v>0</v>
          </cell>
          <cell r="D312">
            <v>17</v>
          </cell>
          <cell r="E312">
            <v>0</v>
          </cell>
          <cell r="F312">
            <v>4391</v>
          </cell>
          <cell r="G312">
            <v>0</v>
          </cell>
        </row>
        <row r="313">
          <cell r="A313">
            <v>45407</v>
          </cell>
          <cell r="B313">
            <v>4156</v>
          </cell>
          <cell r="C313">
            <v>0</v>
          </cell>
          <cell r="D313">
            <v>12</v>
          </cell>
          <cell r="E313">
            <v>0</v>
          </cell>
          <cell r="F313">
            <v>3690</v>
          </cell>
          <cell r="G313">
            <v>0</v>
          </cell>
        </row>
        <row r="314">
          <cell r="A314">
            <v>45406</v>
          </cell>
          <cell r="B314">
            <v>5743</v>
          </cell>
          <cell r="C314">
            <v>0</v>
          </cell>
          <cell r="D314">
            <v>0</v>
          </cell>
          <cell r="E314">
            <v>0</v>
          </cell>
          <cell r="F314">
            <v>5199</v>
          </cell>
          <cell r="G314">
            <v>0</v>
          </cell>
        </row>
        <row r="315">
          <cell r="A315">
            <v>45405</v>
          </cell>
          <cell r="B315">
            <v>7728</v>
          </cell>
          <cell r="C315">
            <v>0</v>
          </cell>
          <cell r="D315">
            <v>147</v>
          </cell>
          <cell r="E315">
            <v>0</v>
          </cell>
          <cell r="F315">
            <v>6637</v>
          </cell>
          <cell r="G315">
            <v>0</v>
          </cell>
        </row>
        <row r="316">
          <cell r="A316">
            <v>45404</v>
          </cell>
          <cell r="B316">
            <v>11343</v>
          </cell>
          <cell r="C316">
            <v>0</v>
          </cell>
          <cell r="D316">
            <v>5</v>
          </cell>
          <cell r="E316">
            <v>0</v>
          </cell>
          <cell r="F316">
            <v>9890</v>
          </cell>
          <cell r="G316">
            <v>0</v>
          </cell>
        </row>
        <row r="317">
          <cell r="A317">
            <v>45403</v>
          </cell>
          <cell r="B317">
            <v>11996</v>
          </cell>
          <cell r="C317">
            <v>0</v>
          </cell>
          <cell r="D317">
            <v>176</v>
          </cell>
          <cell r="E317">
            <v>0</v>
          </cell>
          <cell r="F317">
            <v>9951</v>
          </cell>
          <cell r="G317">
            <v>0</v>
          </cell>
        </row>
        <row r="318">
          <cell r="A318">
            <v>45402</v>
          </cell>
          <cell r="B318">
            <v>12096</v>
          </cell>
          <cell r="C318">
            <v>1</v>
          </cell>
          <cell r="D318">
            <v>238</v>
          </cell>
          <cell r="E318">
            <v>0</v>
          </cell>
          <cell r="F318">
            <v>10051</v>
          </cell>
          <cell r="G318">
            <v>1</v>
          </cell>
        </row>
        <row r="319">
          <cell r="A319">
            <v>45401</v>
          </cell>
          <cell r="B319">
            <v>13651</v>
          </cell>
          <cell r="C319">
            <v>3</v>
          </cell>
          <cell r="D319">
            <v>395</v>
          </cell>
          <cell r="E319">
            <v>64</v>
          </cell>
          <cell r="F319">
            <v>12074</v>
          </cell>
          <cell r="G319">
            <v>0</v>
          </cell>
        </row>
        <row r="320">
          <cell r="A320">
            <v>45400</v>
          </cell>
          <cell r="B320">
            <v>7409</v>
          </cell>
          <cell r="C320">
            <v>73</v>
          </cell>
          <cell r="D320">
            <v>985</v>
          </cell>
          <cell r="E320">
            <v>36</v>
          </cell>
          <cell r="F320">
            <v>6644</v>
          </cell>
          <cell r="G320">
            <v>0</v>
          </cell>
        </row>
        <row r="321">
          <cell r="A321">
            <v>45399</v>
          </cell>
          <cell r="B321">
            <v>1818</v>
          </cell>
          <cell r="C321">
            <v>0</v>
          </cell>
          <cell r="D321">
            <v>205</v>
          </cell>
          <cell r="E321">
            <v>0</v>
          </cell>
          <cell r="F321">
            <v>1444</v>
          </cell>
          <cell r="G321">
            <v>0</v>
          </cell>
        </row>
        <row r="322">
          <cell r="A322">
            <v>45398</v>
          </cell>
          <cell r="B322">
            <v>1802</v>
          </cell>
          <cell r="C322">
            <v>0</v>
          </cell>
          <cell r="D322">
            <v>94</v>
          </cell>
          <cell r="E322">
            <v>0</v>
          </cell>
          <cell r="F322">
            <v>1434</v>
          </cell>
          <cell r="G322">
            <v>0</v>
          </cell>
        </row>
        <row r="323">
          <cell r="A323">
            <v>45397</v>
          </cell>
          <cell r="B323">
            <v>1357</v>
          </cell>
          <cell r="C323">
            <v>0</v>
          </cell>
          <cell r="D323">
            <v>14</v>
          </cell>
          <cell r="E323">
            <v>11</v>
          </cell>
          <cell r="F323">
            <v>1056</v>
          </cell>
          <cell r="G323">
            <v>0</v>
          </cell>
        </row>
        <row r="324">
          <cell r="A324">
            <v>45396</v>
          </cell>
          <cell r="B324">
            <v>2535</v>
          </cell>
          <cell r="C324">
            <v>0</v>
          </cell>
          <cell r="D324">
            <v>15075</v>
          </cell>
          <cell r="E324">
            <v>0</v>
          </cell>
          <cell r="F324">
            <v>1842</v>
          </cell>
          <cell r="G324">
            <v>0</v>
          </cell>
        </row>
        <row r="325">
          <cell r="A325">
            <v>45395</v>
          </cell>
          <cell r="B325">
            <v>1519</v>
          </cell>
          <cell r="C325">
            <v>0</v>
          </cell>
          <cell r="D325">
            <v>140</v>
          </cell>
          <cell r="E325">
            <v>0</v>
          </cell>
          <cell r="F325">
            <v>1061</v>
          </cell>
          <cell r="G325">
            <v>0</v>
          </cell>
        </row>
        <row r="326">
          <cell r="A326">
            <v>45394</v>
          </cell>
          <cell r="B326">
            <v>859</v>
          </cell>
          <cell r="C326">
            <v>2</v>
          </cell>
          <cell r="D326">
            <v>42</v>
          </cell>
          <cell r="E326">
            <v>3</v>
          </cell>
          <cell r="F326">
            <v>613</v>
          </cell>
          <cell r="G326">
            <v>0</v>
          </cell>
        </row>
        <row r="327">
          <cell r="A327">
            <v>45393</v>
          </cell>
          <cell r="B327">
            <v>902</v>
          </cell>
          <cell r="C327">
            <v>0</v>
          </cell>
          <cell r="D327">
            <v>21</v>
          </cell>
          <cell r="E327">
            <v>0</v>
          </cell>
          <cell r="F327">
            <v>647</v>
          </cell>
          <cell r="G327">
            <v>0</v>
          </cell>
        </row>
        <row r="328">
          <cell r="A328">
            <v>45392</v>
          </cell>
          <cell r="B328">
            <v>1451</v>
          </cell>
          <cell r="C328">
            <v>4</v>
          </cell>
          <cell r="D328">
            <v>260</v>
          </cell>
          <cell r="E328">
            <v>98</v>
          </cell>
          <cell r="F328">
            <v>1166</v>
          </cell>
          <cell r="G328">
            <v>0</v>
          </cell>
        </row>
        <row r="329">
          <cell r="A329">
            <v>45391</v>
          </cell>
          <cell r="B329">
            <v>3145</v>
          </cell>
          <cell r="C329">
            <v>0</v>
          </cell>
          <cell r="D329">
            <v>583</v>
          </cell>
          <cell r="E329">
            <v>0</v>
          </cell>
          <cell r="F329">
            <v>2447</v>
          </cell>
          <cell r="G329">
            <v>0</v>
          </cell>
        </row>
        <row r="330">
          <cell r="A330">
            <v>45390</v>
          </cell>
          <cell r="B330">
            <v>735</v>
          </cell>
          <cell r="C330">
            <v>0</v>
          </cell>
          <cell r="D330">
            <v>36</v>
          </cell>
          <cell r="E330">
            <v>0</v>
          </cell>
          <cell r="F330">
            <v>451</v>
          </cell>
          <cell r="G330">
            <v>0</v>
          </cell>
        </row>
        <row r="331">
          <cell r="A331">
            <v>45389</v>
          </cell>
          <cell r="B331">
            <v>1155</v>
          </cell>
          <cell r="C331">
            <v>0</v>
          </cell>
          <cell r="D331">
            <v>78</v>
          </cell>
          <cell r="E331">
            <v>0</v>
          </cell>
          <cell r="F331">
            <v>854</v>
          </cell>
          <cell r="G331">
            <v>0</v>
          </cell>
        </row>
        <row r="332">
          <cell r="A332">
            <v>45388</v>
          </cell>
          <cell r="B332">
            <v>958</v>
          </cell>
          <cell r="C332">
            <v>0</v>
          </cell>
          <cell r="D332">
            <v>24</v>
          </cell>
          <cell r="E332">
            <v>0</v>
          </cell>
          <cell r="F332">
            <v>664</v>
          </cell>
          <cell r="G332">
            <v>0</v>
          </cell>
        </row>
        <row r="333">
          <cell r="A333">
            <v>45387</v>
          </cell>
          <cell r="B333">
            <v>1106</v>
          </cell>
          <cell r="C333">
            <v>0</v>
          </cell>
          <cell r="D333">
            <v>37</v>
          </cell>
          <cell r="E333">
            <v>0</v>
          </cell>
          <cell r="F333">
            <v>760</v>
          </cell>
          <cell r="G333">
            <v>0</v>
          </cell>
        </row>
        <row r="334">
          <cell r="A334">
            <v>45386</v>
          </cell>
          <cell r="B334">
            <v>782</v>
          </cell>
          <cell r="C334">
            <v>0</v>
          </cell>
          <cell r="D334">
            <v>30</v>
          </cell>
          <cell r="E334">
            <v>0</v>
          </cell>
          <cell r="F334">
            <v>552</v>
          </cell>
          <cell r="G334">
            <v>0</v>
          </cell>
        </row>
        <row r="335">
          <cell r="A335">
            <v>45385</v>
          </cell>
          <cell r="B335">
            <v>1553</v>
          </cell>
          <cell r="C335">
            <v>0</v>
          </cell>
          <cell r="D335">
            <v>135</v>
          </cell>
          <cell r="E335">
            <v>0</v>
          </cell>
          <cell r="F335">
            <v>929</v>
          </cell>
          <cell r="G335">
            <v>0</v>
          </cell>
        </row>
        <row r="336">
          <cell r="A336">
            <v>45384</v>
          </cell>
          <cell r="B336">
            <v>777</v>
          </cell>
          <cell r="C336">
            <v>0</v>
          </cell>
          <cell r="D336">
            <v>10</v>
          </cell>
          <cell r="E336">
            <v>6</v>
          </cell>
          <cell r="F336">
            <v>479</v>
          </cell>
          <cell r="G336">
            <v>0</v>
          </cell>
        </row>
        <row r="337">
          <cell r="A337">
            <v>45383</v>
          </cell>
          <cell r="B337">
            <v>1332</v>
          </cell>
          <cell r="C337">
            <v>0</v>
          </cell>
          <cell r="D337">
            <v>15</v>
          </cell>
          <cell r="E337">
            <v>0</v>
          </cell>
          <cell r="F337">
            <v>741</v>
          </cell>
          <cell r="G337">
            <v>0</v>
          </cell>
        </row>
        <row r="338">
          <cell r="A338">
            <v>45382</v>
          </cell>
          <cell r="B338">
            <v>2401</v>
          </cell>
          <cell r="C338">
            <v>2</v>
          </cell>
          <cell r="D338">
            <v>82</v>
          </cell>
          <cell r="E338">
            <v>0</v>
          </cell>
          <cell r="F338">
            <v>1290</v>
          </cell>
          <cell r="G338">
            <v>2</v>
          </cell>
        </row>
        <row r="339">
          <cell r="A339">
            <v>45381</v>
          </cell>
          <cell r="B339">
            <v>1313</v>
          </cell>
          <cell r="C339">
            <v>0</v>
          </cell>
          <cell r="D339">
            <v>17</v>
          </cell>
          <cell r="E339">
            <v>0</v>
          </cell>
          <cell r="F339">
            <v>804</v>
          </cell>
          <cell r="G339">
            <v>0</v>
          </cell>
        </row>
        <row r="340">
          <cell r="A340">
            <v>45380</v>
          </cell>
          <cell r="B340">
            <v>1490</v>
          </cell>
          <cell r="C340">
            <v>1</v>
          </cell>
          <cell r="D340">
            <v>66</v>
          </cell>
          <cell r="E340">
            <v>0</v>
          </cell>
          <cell r="F340">
            <v>854</v>
          </cell>
          <cell r="G340">
            <v>1</v>
          </cell>
        </row>
        <row r="341">
          <cell r="A341">
            <v>45379</v>
          </cell>
          <cell r="B341">
            <v>957</v>
          </cell>
          <cell r="C341">
            <v>0</v>
          </cell>
          <cell r="D341">
            <v>16</v>
          </cell>
          <cell r="E341">
            <v>2</v>
          </cell>
          <cell r="F341">
            <v>636</v>
          </cell>
          <cell r="G341">
            <v>0</v>
          </cell>
        </row>
        <row r="342">
          <cell r="A342">
            <v>45378</v>
          </cell>
          <cell r="B342">
            <v>1356</v>
          </cell>
          <cell r="C342">
            <v>1</v>
          </cell>
          <cell r="D342">
            <v>25</v>
          </cell>
          <cell r="E342">
            <v>4</v>
          </cell>
          <cell r="F342">
            <v>863</v>
          </cell>
          <cell r="G342">
            <v>0</v>
          </cell>
        </row>
        <row r="343">
          <cell r="A343">
            <v>45377</v>
          </cell>
          <cell r="B343">
            <v>2453</v>
          </cell>
          <cell r="C343">
            <v>2</v>
          </cell>
          <cell r="D343">
            <v>66</v>
          </cell>
          <cell r="E343">
            <v>2</v>
          </cell>
          <cell r="F343">
            <v>1388</v>
          </cell>
          <cell r="G343">
            <v>0</v>
          </cell>
        </row>
        <row r="344">
          <cell r="A344">
            <v>45376</v>
          </cell>
          <cell r="B344">
            <v>2924</v>
          </cell>
          <cell r="C344">
            <v>1</v>
          </cell>
          <cell r="D344">
            <v>49</v>
          </cell>
          <cell r="E344">
            <v>3</v>
          </cell>
          <cell r="F344">
            <v>1505</v>
          </cell>
          <cell r="G344">
            <v>1</v>
          </cell>
        </row>
        <row r="345">
          <cell r="A345">
            <v>45375</v>
          </cell>
          <cell r="B345">
            <v>3974</v>
          </cell>
          <cell r="C345">
            <v>0</v>
          </cell>
          <cell r="D345">
            <v>41</v>
          </cell>
          <cell r="E345">
            <v>0</v>
          </cell>
          <cell r="F345">
            <v>2121</v>
          </cell>
          <cell r="G345">
            <v>0</v>
          </cell>
        </row>
        <row r="346">
          <cell r="A346">
            <v>45374</v>
          </cell>
          <cell r="B346">
            <v>6104</v>
          </cell>
          <cell r="C346">
            <v>9</v>
          </cell>
          <cell r="D346">
            <v>518</v>
          </cell>
          <cell r="E346">
            <v>24</v>
          </cell>
          <cell r="F346">
            <v>2667</v>
          </cell>
          <cell r="G346">
            <v>3</v>
          </cell>
        </row>
        <row r="347">
          <cell r="A347">
            <v>45373</v>
          </cell>
          <cell r="B347">
            <v>2767</v>
          </cell>
          <cell r="C347">
            <v>0</v>
          </cell>
          <cell r="D347">
            <v>47</v>
          </cell>
          <cell r="E347">
            <v>0</v>
          </cell>
          <cell r="F347">
            <v>1316</v>
          </cell>
          <cell r="G347">
            <v>0</v>
          </cell>
        </row>
        <row r="348">
          <cell r="A348">
            <v>45372</v>
          </cell>
          <cell r="B348">
            <v>3124</v>
          </cell>
          <cell r="C348">
            <v>0</v>
          </cell>
          <cell r="D348">
            <v>25</v>
          </cell>
          <cell r="E348">
            <v>0</v>
          </cell>
          <cell r="F348">
            <v>1382</v>
          </cell>
          <cell r="G348">
            <v>0</v>
          </cell>
        </row>
        <row r="349">
          <cell r="A349">
            <v>45371</v>
          </cell>
          <cell r="B349">
            <v>5541</v>
          </cell>
          <cell r="C349">
            <v>2</v>
          </cell>
          <cell r="D349">
            <v>119</v>
          </cell>
          <cell r="E349">
            <v>2</v>
          </cell>
          <cell r="F349">
            <v>2711</v>
          </cell>
          <cell r="G349">
            <v>1</v>
          </cell>
        </row>
        <row r="350">
          <cell r="A350">
            <v>45370</v>
          </cell>
          <cell r="B350">
            <v>7855</v>
          </cell>
          <cell r="C350">
            <v>0</v>
          </cell>
          <cell r="D350">
            <v>250</v>
          </cell>
          <cell r="E350">
            <v>2</v>
          </cell>
          <cell r="F350">
            <v>4859</v>
          </cell>
          <cell r="G350">
            <v>0</v>
          </cell>
        </row>
        <row r="351">
          <cell r="A351">
            <v>45369</v>
          </cell>
          <cell r="B351">
            <v>8455</v>
          </cell>
          <cell r="C351">
            <v>0</v>
          </cell>
          <cell r="D351">
            <v>89</v>
          </cell>
          <cell r="E351">
            <v>2</v>
          </cell>
          <cell r="F351">
            <v>5722</v>
          </cell>
          <cell r="G351">
            <v>0</v>
          </cell>
        </row>
        <row r="352">
          <cell r="A352">
            <v>45368</v>
          </cell>
          <cell r="B352">
            <v>9898</v>
          </cell>
          <cell r="C352">
            <v>0</v>
          </cell>
          <cell r="D352">
            <v>141</v>
          </cell>
          <cell r="E352">
            <v>1</v>
          </cell>
          <cell r="F352">
            <v>6056</v>
          </cell>
          <cell r="G352">
            <v>0</v>
          </cell>
        </row>
        <row r="353">
          <cell r="A353">
            <v>45367</v>
          </cell>
          <cell r="B353">
            <v>8849</v>
          </cell>
          <cell r="C353">
            <v>0</v>
          </cell>
          <cell r="D353">
            <v>162</v>
          </cell>
          <cell r="E353">
            <v>0</v>
          </cell>
          <cell r="F353">
            <v>5725</v>
          </cell>
          <cell r="G353">
            <v>0</v>
          </cell>
        </row>
        <row r="354">
          <cell r="A354">
            <v>45366</v>
          </cell>
          <cell r="B354">
            <v>6272</v>
          </cell>
          <cell r="C354">
            <v>7</v>
          </cell>
          <cell r="D354">
            <v>190</v>
          </cell>
          <cell r="E354">
            <v>2</v>
          </cell>
          <cell r="F354">
            <v>3471</v>
          </cell>
          <cell r="G354">
            <v>5</v>
          </cell>
        </row>
        <row r="355">
          <cell r="A355">
            <v>45365</v>
          </cell>
          <cell r="B355">
            <v>4219</v>
          </cell>
          <cell r="C355">
            <v>0</v>
          </cell>
          <cell r="D355">
            <v>156</v>
          </cell>
          <cell r="E355">
            <v>6</v>
          </cell>
          <cell r="F355">
            <v>2066</v>
          </cell>
          <cell r="G355">
            <v>0</v>
          </cell>
        </row>
        <row r="356">
          <cell r="A356">
            <v>45364</v>
          </cell>
          <cell r="B356">
            <v>5990</v>
          </cell>
          <cell r="C356">
            <v>1</v>
          </cell>
          <cell r="D356">
            <v>101</v>
          </cell>
          <cell r="E356">
            <v>16</v>
          </cell>
          <cell r="F356">
            <v>3461</v>
          </cell>
          <cell r="G356">
            <v>1</v>
          </cell>
        </row>
        <row r="357">
          <cell r="A357">
            <v>45363</v>
          </cell>
          <cell r="B357">
            <v>6599</v>
          </cell>
          <cell r="C357">
            <v>2</v>
          </cell>
          <cell r="D357">
            <v>79</v>
          </cell>
          <cell r="E357">
            <v>0</v>
          </cell>
          <cell r="F357">
            <v>4097</v>
          </cell>
          <cell r="G357">
            <v>2</v>
          </cell>
        </row>
        <row r="358">
          <cell r="A358">
            <v>45362</v>
          </cell>
          <cell r="B358">
            <v>8445</v>
          </cell>
          <cell r="C358">
            <v>2</v>
          </cell>
          <cell r="D358">
            <v>135</v>
          </cell>
          <cell r="E358">
            <v>21</v>
          </cell>
          <cell r="F358">
            <v>4724</v>
          </cell>
          <cell r="G358">
            <v>0</v>
          </cell>
        </row>
        <row r="359">
          <cell r="A359">
            <v>45361</v>
          </cell>
          <cell r="B359">
            <v>6590</v>
          </cell>
          <cell r="C359">
            <v>1</v>
          </cell>
          <cell r="D359">
            <v>230</v>
          </cell>
          <cell r="E359">
            <v>23</v>
          </cell>
          <cell r="F359">
            <v>3444</v>
          </cell>
          <cell r="G359">
            <v>0</v>
          </cell>
        </row>
        <row r="360">
          <cell r="A360">
            <v>45360</v>
          </cell>
          <cell r="B360">
            <v>6208</v>
          </cell>
          <cell r="C360">
            <v>0</v>
          </cell>
          <cell r="D360">
            <v>188</v>
          </cell>
          <cell r="E360">
            <v>1</v>
          </cell>
          <cell r="F360">
            <v>2925</v>
          </cell>
          <cell r="G360">
            <v>0</v>
          </cell>
        </row>
        <row r="361">
          <cell r="A361">
            <v>45359</v>
          </cell>
          <cell r="B361">
            <v>3718</v>
          </cell>
          <cell r="C361">
            <v>0</v>
          </cell>
          <cell r="D361">
            <v>84</v>
          </cell>
          <cell r="E361">
            <v>3</v>
          </cell>
          <cell r="F361">
            <v>1969</v>
          </cell>
          <cell r="G361">
            <v>0</v>
          </cell>
        </row>
        <row r="362">
          <cell r="A362">
            <v>45358</v>
          </cell>
          <cell r="B362">
            <v>4238</v>
          </cell>
          <cell r="C362">
            <v>0</v>
          </cell>
          <cell r="D362">
            <v>237</v>
          </cell>
          <cell r="E362">
            <v>6</v>
          </cell>
          <cell r="F362">
            <v>1943</v>
          </cell>
          <cell r="G362">
            <v>0</v>
          </cell>
        </row>
        <row r="363">
          <cell r="A363">
            <v>45357</v>
          </cell>
          <cell r="B363">
            <v>3595</v>
          </cell>
          <cell r="C363">
            <v>0</v>
          </cell>
          <cell r="D363">
            <v>177</v>
          </cell>
          <cell r="E363">
            <v>2</v>
          </cell>
          <cell r="F363">
            <v>1700</v>
          </cell>
          <cell r="G363">
            <v>0</v>
          </cell>
        </row>
        <row r="364">
          <cell r="A364">
            <v>45356</v>
          </cell>
          <cell r="B364">
            <v>3624</v>
          </cell>
          <cell r="C364">
            <v>0</v>
          </cell>
          <cell r="D364">
            <v>61</v>
          </cell>
          <cell r="E364">
            <v>2</v>
          </cell>
          <cell r="F364">
            <v>1735</v>
          </cell>
          <cell r="G364">
            <v>0</v>
          </cell>
        </row>
        <row r="365">
          <cell r="A365">
            <v>45355</v>
          </cell>
          <cell r="B365">
            <v>3521</v>
          </cell>
          <cell r="C365">
            <v>0</v>
          </cell>
          <cell r="D365">
            <v>178</v>
          </cell>
          <cell r="E365">
            <v>11</v>
          </cell>
          <cell r="F365">
            <v>1892</v>
          </cell>
          <cell r="G365">
            <v>0</v>
          </cell>
        </row>
        <row r="366">
          <cell r="A366">
            <v>45354</v>
          </cell>
          <cell r="B366">
            <v>4539</v>
          </cell>
          <cell r="C366">
            <v>0</v>
          </cell>
          <cell r="D366">
            <v>64</v>
          </cell>
          <cell r="E366">
            <v>1</v>
          </cell>
          <cell r="F366">
            <v>2085</v>
          </cell>
          <cell r="G366">
            <v>0</v>
          </cell>
        </row>
        <row r="367">
          <cell r="A367">
            <v>45353</v>
          </cell>
          <cell r="B367">
            <v>5740</v>
          </cell>
          <cell r="C367">
            <v>13</v>
          </cell>
          <cell r="D367">
            <v>296</v>
          </cell>
          <cell r="E367">
            <v>11</v>
          </cell>
          <cell r="F367">
            <v>2467</v>
          </cell>
          <cell r="G367">
            <v>3</v>
          </cell>
        </row>
        <row r="368">
          <cell r="A368">
            <v>45352</v>
          </cell>
          <cell r="B368">
            <v>5781</v>
          </cell>
          <cell r="C368">
            <v>11</v>
          </cell>
          <cell r="D368">
            <v>409</v>
          </cell>
          <cell r="E368">
            <v>12</v>
          </cell>
          <cell r="F368">
            <v>2552</v>
          </cell>
          <cell r="G368">
            <v>0</v>
          </cell>
        </row>
        <row r="369">
          <cell r="A369">
            <v>45351</v>
          </cell>
          <cell r="B369">
            <v>5735</v>
          </cell>
          <cell r="C369">
            <v>2</v>
          </cell>
          <cell r="D369">
            <v>170</v>
          </cell>
          <cell r="E369">
            <v>4</v>
          </cell>
          <cell r="F369">
            <v>2681</v>
          </cell>
          <cell r="G369">
            <v>2</v>
          </cell>
        </row>
        <row r="370">
          <cell r="A370">
            <v>45350</v>
          </cell>
          <cell r="B370">
            <v>8033</v>
          </cell>
          <cell r="C370">
            <v>0</v>
          </cell>
          <cell r="D370">
            <v>484</v>
          </cell>
          <cell r="E370">
            <v>5</v>
          </cell>
          <cell r="F370">
            <v>3612</v>
          </cell>
          <cell r="G370">
            <v>0</v>
          </cell>
        </row>
        <row r="371">
          <cell r="A371">
            <v>45349</v>
          </cell>
          <cell r="B371">
            <v>6652</v>
          </cell>
          <cell r="C371">
            <v>6</v>
          </cell>
          <cell r="D371">
            <v>283</v>
          </cell>
          <cell r="E371">
            <v>15</v>
          </cell>
          <cell r="F371">
            <v>3206</v>
          </cell>
          <cell r="G371">
            <v>2</v>
          </cell>
        </row>
        <row r="372">
          <cell r="A372">
            <v>45348</v>
          </cell>
          <cell r="B372">
            <v>8876</v>
          </cell>
          <cell r="C372">
            <v>5</v>
          </cell>
          <cell r="D372">
            <v>398</v>
          </cell>
          <cell r="E372">
            <v>16</v>
          </cell>
          <cell r="F372">
            <v>4551</v>
          </cell>
          <cell r="G372">
            <v>5</v>
          </cell>
        </row>
        <row r="373">
          <cell r="A373">
            <v>45347</v>
          </cell>
          <cell r="B373">
            <v>8741</v>
          </cell>
          <cell r="C373">
            <v>1</v>
          </cell>
          <cell r="D373">
            <v>231</v>
          </cell>
          <cell r="E373">
            <v>0</v>
          </cell>
          <cell r="F373">
            <v>4219</v>
          </cell>
          <cell r="G373">
            <v>1</v>
          </cell>
        </row>
        <row r="374">
          <cell r="A374">
            <v>45346</v>
          </cell>
          <cell r="B374">
            <v>7202</v>
          </cell>
          <cell r="C374">
            <v>31</v>
          </cell>
          <cell r="D374">
            <v>432</v>
          </cell>
          <cell r="E374">
            <v>18</v>
          </cell>
          <cell r="F374">
            <v>4061</v>
          </cell>
          <cell r="G374">
            <v>0</v>
          </cell>
        </row>
        <row r="375">
          <cell r="A375">
            <v>45345</v>
          </cell>
          <cell r="B375">
            <v>6988</v>
          </cell>
          <cell r="C375">
            <v>1</v>
          </cell>
          <cell r="D375">
            <v>192</v>
          </cell>
          <cell r="E375">
            <v>6</v>
          </cell>
          <cell r="F375">
            <v>3527</v>
          </cell>
          <cell r="G375">
            <v>1</v>
          </cell>
        </row>
        <row r="376">
          <cell r="A376">
            <v>45344</v>
          </cell>
          <cell r="B376">
            <v>6961</v>
          </cell>
          <cell r="C376">
            <v>0</v>
          </cell>
          <cell r="D376">
            <v>114</v>
          </cell>
          <cell r="E376">
            <v>3</v>
          </cell>
          <cell r="F376">
            <v>3854</v>
          </cell>
          <cell r="G376">
            <v>0</v>
          </cell>
        </row>
        <row r="377">
          <cell r="A377">
            <v>45343</v>
          </cell>
          <cell r="B377">
            <v>7122</v>
          </cell>
          <cell r="C377">
            <v>3</v>
          </cell>
          <cell r="D377">
            <v>149</v>
          </cell>
          <cell r="E377">
            <v>2</v>
          </cell>
          <cell r="F377">
            <v>4227</v>
          </cell>
          <cell r="G377">
            <v>1</v>
          </cell>
        </row>
        <row r="378">
          <cell r="A378">
            <v>45342</v>
          </cell>
          <cell r="B378">
            <v>8570</v>
          </cell>
          <cell r="C378">
            <v>1</v>
          </cell>
          <cell r="D378">
            <v>268</v>
          </cell>
          <cell r="E378">
            <v>17</v>
          </cell>
          <cell r="F378">
            <v>4795</v>
          </cell>
          <cell r="G378">
            <v>0</v>
          </cell>
        </row>
        <row r="379">
          <cell r="A379">
            <v>45341</v>
          </cell>
          <cell r="B379">
            <v>7939</v>
          </cell>
          <cell r="C379">
            <v>0</v>
          </cell>
          <cell r="D379">
            <v>186</v>
          </cell>
          <cell r="E379">
            <v>1</v>
          </cell>
          <cell r="F379">
            <v>4127</v>
          </cell>
          <cell r="G379">
            <v>0</v>
          </cell>
        </row>
        <row r="380">
          <cell r="A380">
            <v>45340</v>
          </cell>
          <cell r="B380">
            <v>10036</v>
          </cell>
          <cell r="C380">
            <v>7</v>
          </cell>
          <cell r="D380">
            <v>582</v>
          </cell>
          <cell r="E380">
            <v>8</v>
          </cell>
          <cell r="F380">
            <v>5349</v>
          </cell>
          <cell r="G380">
            <v>7</v>
          </cell>
        </row>
      </sheetData>
      <sheetData sheetId="1">
        <row r="1">
          <cell r="A1" t="str">
            <v>Date</v>
          </cell>
          <cell r="B1" t="str">
            <v>Media ID</v>
          </cell>
          <cell r="C1" t="str">
            <v>Media caption</v>
          </cell>
          <cell r="D1" t="str">
            <v>Media product type</v>
          </cell>
          <cell r="E1" t="str">
            <v>Media impressions</v>
          </cell>
          <cell r="F1" t="str">
            <v>Media reach</v>
          </cell>
          <cell r="G1" t="str">
            <v>Like count</v>
          </cell>
          <cell r="H1" t="str">
            <v>Comments count</v>
          </cell>
          <cell r="I1" t="str">
            <v>Shares</v>
          </cell>
          <cell r="J1" t="str">
            <v>Unique saves</v>
          </cell>
          <cell r="K1" t="str">
            <v>Video views</v>
          </cell>
        </row>
        <row r="2">
          <cell r="A2">
            <v>45676</v>
          </cell>
          <cell r="B2" t="str">
            <v>17902204887015249</v>
          </cell>
          <cell r="C2" t="str">
            <v>Comment ‘CLASS’ to sign up to my free masterclass series! Breaking down what your child needs to thrive through your divorce. 
You’ve got this muma! 💖💪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v>
          </cell>
          <cell r="D2" t="str">
            <v>FEED</v>
          </cell>
          <cell r="E2">
            <v>868</v>
          </cell>
          <cell r="F2">
            <v>814</v>
          </cell>
          <cell r="G2">
            <v>10</v>
          </cell>
          <cell r="H2">
            <v>8</v>
          </cell>
          <cell r="I2">
            <v>1</v>
          </cell>
          <cell r="J2">
            <v>2</v>
          </cell>
          <cell r="K2">
            <v>0</v>
          </cell>
        </row>
        <row r="3">
          <cell r="A3">
            <v>45675</v>
          </cell>
          <cell r="B3" t="str">
            <v>18071205646706820</v>
          </cell>
          <cell r="C3" t="str">
            <v>Comment ‘CLASS’ to sign up to my free masterclass series! Breaking down what your child needs to thrive through your divorce. 
You’ve got this muma! 💖💪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v>
          </cell>
          <cell r="D3" t="str">
            <v>FEED</v>
          </cell>
          <cell r="E3">
            <v>741</v>
          </cell>
          <cell r="F3">
            <v>695</v>
          </cell>
          <cell r="G3">
            <v>8</v>
          </cell>
          <cell r="H3">
            <v>2</v>
          </cell>
          <cell r="I3">
            <v>0</v>
          </cell>
          <cell r="J3">
            <v>1</v>
          </cell>
          <cell r="K3">
            <v>0</v>
          </cell>
        </row>
        <row r="4">
          <cell r="A4">
            <v>45674</v>
          </cell>
          <cell r="B4" t="str">
            <v>18027615518313508</v>
          </cell>
          <cell r="C4" t="str">
            <v>Comment ‘CLASS’ to sign up to my free masterclass series! Breaking down what your child needs to thrive through your divorce. 
You’ve got this muma! 💖💪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v>
          </cell>
          <cell r="D4" t="str">
            <v>FEED</v>
          </cell>
          <cell r="E4">
            <v>1821</v>
          </cell>
          <cell r="F4">
            <v>1666</v>
          </cell>
          <cell r="G4">
            <v>24</v>
          </cell>
          <cell r="H4">
            <v>14</v>
          </cell>
          <cell r="I4">
            <v>0</v>
          </cell>
          <cell r="J4">
            <v>13</v>
          </cell>
          <cell r="K4">
            <v>0</v>
          </cell>
        </row>
        <row r="5">
          <cell r="A5">
            <v>45673</v>
          </cell>
          <cell r="B5" t="str">
            <v>18034591967437473</v>
          </cell>
          <cell r="C5" t="str">
            <v>Comment ‘CLASS’ to sign up to my free masterclass series! Breaking down what your child needs to thrive through your divorce. 
You’ve got this muma! 💖💪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v>
          </cell>
          <cell r="D5" t="str">
            <v>REELS</v>
          </cell>
          <cell r="E5">
            <v>0</v>
          </cell>
          <cell r="F5">
            <v>1280</v>
          </cell>
          <cell r="G5">
            <v>13</v>
          </cell>
          <cell r="H5">
            <v>27</v>
          </cell>
          <cell r="I5">
            <v>1</v>
          </cell>
          <cell r="J5">
            <v>5</v>
          </cell>
          <cell r="K5">
            <v>0</v>
          </cell>
        </row>
        <row r="6">
          <cell r="A6">
            <v>45672</v>
          </cell>
          <cell r="B6" t="str">
            <v>18012211340694193</v>
          </cell>
          <cell r="C6" t="str">
            <v>Comment ‘CLASS’ to sign up to my free masterclass series! Breaking down what your child needs to thrive through your divorce. 
You’ve got this muma! 💖💪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v>
          </cell>
          <cell r="D6" t="str">
            <v>REELS</v>
          </cell>
          <cell r="E6">
            <v>0</v>
          </cell>
          <cell r="F6">
            <v>753</v>
          </cell>
          <cell r="G6">
            <v>6</v>
          </cell>
          <cell r="H6">
            <v>8</v>
          </cell>
          <cell r="I6">
            <v>1</v>
          </cell>
          <cell r="J6">
            <v>2</v>
          </cell>
          <cell r="K6">
            <v>0</v>
          </cell>
        </row>
        <row r="7">
          <cell r="A7">
            <v>45671</v>
          </cell>
          <cell r="B7" t="str">
            <v>18121297939423936</v>
          </cell>
          <cell r="C7" t="str">
            <v>Comment ‘CLASS’ to sign up to my free masterclass series! Breaking down what your child needs to thrive through your divorce. 
You’ve got this muma! 💖💪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v>
          </cell>
          <cell r="D7" t="str">
            <v>FEED</v>
          </cell>
          <cell r="E7">
            <v>2980</v>
          </cell>
          <cell r="F7">
            <v>2719</v>
          </cell>
          <cell r="G7">
            <v>67</v>
          </cell>
          <cell r="H7">
            <v>30</v>
          </cell>
          <cell r="I7">
            <v>0</v>
          </cell>
          <cell r="J7">
            <v>41</v>
          </cell>
          <cell r="K7">
            <v>0</v>
          </cell>
        </row>
        <row r="8">
          <cell r="A8">
            <v>45670</v>
          </cell>
          <cell r="B8" t="str">
            <v>17854481766361749</v>
          </cell>
          <cell r="C8" t="str">
            <v>Comment ‘CLASS’ to sign up to my free masterclass series! 
Breaking down what your child needs to thrive through your divorce. 
You’ve got this muma! 💖💪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v>
          </cell>
          <cell r="D8" t="str">
            <v>FEED</v>
          </cell>
          <cell r="E8">
            <v>1975</v>
          </cell>
          <cell r="F8">
            <v>1768</v>
          </cell>
          <cell r="G8">
            <v>30</v>
          </cell>
          <cell r="H8">
            <v>26</v>
          </cell>
          <cell r="I8">
            <v>0</v>
          </cell>
          <cell r="J8">
            <v>25</v>
          </cell>
          <cell r="K8">
            <v>0</v>
          </cell>
        </row>
        <row r="9">
          <cell r="A9">
            <v>45669</v>
          </cell>
          <cell r="B9" t="str">
            <v>17933197655976170</v>
          </cell>
          <cell r="C9" t="str">
            <v>Comment ‘CLASS’ to sign up to my free masterclass series! 
Breaking down what your child needs to thrive through your divorce. 
You’ve got this muma! 💖💪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v>
          </cell>
          <cell r="D9" t="str">
            <v>FEED</v>
          </cell>
          <cell r="E9">
            <v>958</v>
          </cell>
          <cell r="F9">
            <v>907</v>
          </cell>
          <cell r="G9">
            <v>5</v>
          </cell>
          <cell r="H9">
            <v>6</v>
          </cell>
          <cell r="I9">
            <v>0</v>
          </cell>
          <cell r="J9">
            <v>2</v>
          </cell>
          <cell r="K9">
            <v>0</v>
          </cell>
        </row>
        <row r="10">
          <cell r="A10">
            <v>45668</v>
          </cell>
          <cell r="B10" t="str">
            <v>17972263574687461</v>
          </cell>
          <cell r="C10" t="str">
            <v>Comment ‘CLASS’ to sign up to my free masterclass series! 
Breaking down what your child needs to thrive through your divorce. 
You’ve got this muma! 💖💪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v>
          </cell>
          <cell r="D10" t="str">
            <v>FEED</v>
          </cell>
          <cell r="E10">
            <v>1018</v>
          </cell>
          <cell r="F10">
            <v>985</v>
          </cell>
          <cell r="G10">
            <v>10</v>
          </cell>
          <cell r="H10">
            <v>20</v>
          </cell>
          <cell r="I10">
            <v>0</v>
          </cell>
          <cell r="J10">
            <v>4</v>
          </cell>
          <cell r="K10">
            <v>0</v>
          </cell>
        </row>
        <row r="11">
          <cell r="A11">
            <v>45667</v>
          </cell>
          <cell r="B11" t="str">
            <v>17943921899801708</v>
          </cell>
          <cell r="C11" t="str">
            <v>Comment ‘CLASS’ to sign up to my free masterclass series! Breaking down what your child needs to thrive through your divorce. 
You’ve got this muma! 💖💪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v>
          </cell>
          <cell r="D11" t="str">
            <v>FEED</v>
          </cell>
          <cell r="E11">
            <v>1535</v>
          </cell>
          <cell r="F11">
            <v>1382</v>
          </cell>
          <cell r="G11">
            <v>20</v>
          </cell>
          <cell r="H11">
            <v>19</v>
          </cell>
          <cell r="I11">
            <v>0</v>
          </cell>
          <cell r="J11">
            <v>4</v>
          </cell>
          <cell r="K11">
            <v>0</v>
          </cell>
        </row>
        <row r="12">
          <cell r="A12">
            <v>45666</v>
          </cell>
          <cell r="B12" t="str">
            <v>17987672999772081</v>
          </cell>
          <cell r="C12" t="str">
            <v>Comment ‘CLASS’ to sign up to my free masterclass series! 
Breaking down what your child needs to thrive through your divorce. 
You’ve got this muma! 💖💪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v>
          </cell>
          <cell r="D12" t="str">
            <v>REELS</v>
          </cell>
          <cell r="E12">
            <v>0</v>
          </cell>
          <cell r="F12">
            <v>969</v>
          </cell>
          <cell r="G12">
            <v>8</v>
          </cell>
          <cell r="H12">
            <v>16</v>
          </cell>
          <cell r="I12">
            <v>1</v>
          </cell>
          <cell r="J12">
            <v>6</v>
          </cell>
          <cell r="K12">
            <v>0</v>
          </cell>
        </row>
        <row r="13">
          <cell r="A13">
            <v>45665</v>
          </cell>
          <cell r="B13" t="str">
            <v>17906854434082351</v>
          </cell>
          <cell r="C13" t="str">
            <v>Comment ‘CLASS’ to sign up to my free masterclass series! 
Breaking down what your child needs to thrive through your divorce. 
You’ve got this muma! 💖💪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v>
          </cell>
          <cell r="D13" t="str">
            <v>FEED</v>
          </cell>
          <cell r="E13">
            <v>1840</v>
          </cell>
          <cell r="F13">
            <v>1698</v>
          </cell>
          <cell r="G13">
            <v>15</v>
          </cell>
          <cell r="H13">
            <v>25</v>
          </cell>
          <cell r="I13">
            <v>0</v>
          </cell>
          <cell r="J13">
            <v>10</v>
          </cell>
          <cell r="K13">
            <v>0</v>
          </cell>
        </row>
        <row r="14">
          <cell r="A14">
            <v>45664</v>
          </cell>
          <cell r="B14" t="str">
            <v>18092145148519991</v>
          </cell>
          <cell r="C14" t="str">
            <v>Comment ‘CLASS’ to sign up to my free masterclass series! 
Breaking down what your child needs to thrive through your divorce. 
You’ve got this muma! 💖💪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v>
          </cell>
          <cell r="D14" t="str">
            <v>FEED</v>
          </cell>
          <cell r="E14">
            <v>3728</v>
          </cell>
          <cell r="F14">
            <v>3504</v>
          </cell>
          <cell r="G14">
            <v>143</v>
          </cell>
          <cell r="H14">
            <v>43</v>
          </cell>
          <cell r="I14">
            <v>0</v>
          </cell>
          <cell r="J14">
            <v>58</v>
          </cell>
          <cell r="K14">
            <v>0</v>
          </cell>
        </row>
        <row r="15">
          <cell r="A15">
            <v>45663</v>
          </cell>
          <cell r="B15" t="str">
            <v>17871789783257881</v>
          </cell>
          <cell r="C15" t="str">
            <v>Comment ‘CLASS’ to sign up to my free masterclass series! 
Breaking down what your child needs to thrive through your divorce. 
You’ve got this muma! 💖💪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v>
          </cell>
          <cell r="D15" t="str">
            <v>REELS</v>
          </cell>
          <cell r="E15">
            <v>0</v>
          </cell>
          <cell r="F15">
            <v>2219</v>
          </cell>
          <cell r="G15">
            <v>34</v>
          </cell>
          <cell r="H15">
            <v>50</v>
          </cell>
          <cell r="I15">
            <v>0</v>
          </cell>
          <cell r="J15">
            <v>17</v>
          </cell>
          <cell r="K15">
            <v>0</v>
          </cell>
        </row>
        <row r="16">
          <cell r="A16">
            <v>45662</v>
          </cell>
          <cell r="B16" t="str">
            <v>18027820466540078</v>
          </cell>
          <cell r="C16" t="str">
            <v>Comment ‘CLASS’ to sign up to my free masterclass series! Breaking down what your child needs to thrive through your divorce. 
You’ve got this muma! 💖💪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v>
          </cell>
          <cell r="D16" t="str">
            <v>REELS</v>
          </cell>
          <cell r="E16">
            <v>0</v>
          </cell>
          <cell r="F16">
            <v>5239</v>
          </cell>
          <cell r="G16">
            <v>126</v>
          </cell>
          <cell r="H16">
            <v>273</v>
          </cell>
          <cell r="I16">
            <v>1</v>
          </cell>
          <cell r="J16">
            <v>62</v>
          </cell>
          <cell r="K16">
            <v>0</v>
          </cell>
        </row>
        <row r="17">
          <cell r="A17">
            <v>45648</v>
          </cell>
          <cell r="B17" t="str">
            <v>18079823920523131</v>
          </cell>
          <cell r="C17" t="str">
            <v>If 2024 felt hard, know that every day you are taking a step forward to a life that you and your kids can thrive in. 2025 is your come-back year!
You’ve got this muma! 💖💪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v>
          </cell>
          <cell r="D17" t="str">
            <v>REELS</v>
          </cell>
          <cell r="E17">
            <v>0</v>
          </cell>
          <cell r="F17">
            <v>8201</v>
          </cell>
          <cell r="G17">
            <v>317</v>
          </cell>
          <cell r="H17">
            <v>4</v>
          </cell>
          <cell r="I17">
            <v>54</v>
          </cell>
          <cell r="J17">
            <v>168</v>
          </cell>
          <cell r="K17">
            <v>0</v>
          </cell>
        </row>
        <row r="18">
          <cell r="A18">
            <v>45639</v>
          </cell>
          <cell r="B18" t="str">
            <v>17951448236894935</v>
          </cell>
          <cell r="C18" t="str">
            <v>Comment ‘podcast’ and I’ll send you a link to listen to my Christmas episode, all about how to get through Christmas when you don’t have your children with you as a divorced mum who’s coparenting. 
You’ve got this muma! 💖💪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v>
          </cell>
          <cell r="D18" t="str">
            <v>REELS</v>
          </cell>
          <cell r="E18">
            <v>0</v>
          </cell>
          <cell r="F18">
            <v>1961</v>
          </cell>
          <cell r="G18">
            <v>51</v>
          </cell>
          <cell r="H18">
            <v>33</v>
          </cell>
          <cell r="I18">
            <v>1</v>
          </cell>
          <cell r="J18">
            <v>9</v>
          </cell>
          <cell r="K18">
            <v>0</v>
          </cell>
        </row>
        <row r="19">
          <cell r="A19">
            <v>45631</v>
          </cell>
          <cell r="B19" t="str">
            <v>17848240302329240</v>
          </cell>
          <cell r="C19" t="str">
            <v>Comment ‘GUIDE’ and I’ll send you a link to a free therapist-written guide on how to support your child when they feel anxious.
You’ve got this muma! 💖💪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v>
          </cell>
          <cell r="D19" t="str">
            <v>REELS</v>
          </cell>
          <cell r="E19">
            <v>0</v>
          </cell>
          <cell r="F19">
            <v>3672</v>
          </cell>
          <cell r="G19">
            <v>82</v>
          </cell>
          <cell r="H19">
            <v>199</v>
          </cell>
          <cell r="I19">
            <v>1</v>
          </cell>
          <cell r="J19">
            <v>51</v>
          </cell>
          <cell r="K19">
            <v>0</v>
          </cell>
        </row>
        <row r="20">
          <cell r="A20">
            <v>45629</v>
          </cell>
          <cell r="B20" t="str">
            <v>17997492398710485</v>
          </cell>
          <cell r="C20" t="str">
            <v>Active listening is the most powerful way to increase the bond between you and your child. 
You’ve got this muma! 💖💪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v>
          </cell>
          <cell r="D20" t="str">
            <v>REELS</v>
          </cell>
          <cell r="E20">
            <v>0</v>
          </cell>
          <cell r="F20">
            <v>2270</v>
          </cell>
          <cell r="G20">
            <v>31</v>
          </cell>
          <cell r="H20">
            <v>0</v>
          </cell>
          <cell r="I20">
            <v>0</v>
          </cell>
          <cell r="J20">
            <v>23</v>
          </cell>
          <cell r="K20">
            <v>0</v>
          </cell>
        </row>
        <row r="21">
          <cell r="A21">
            <v>45626</v>
          </cell>
          <cell r="B21" t="str">
            <v>18046513652282758</v>
          </cell>
          <cell r="C21" t="str">
            <v>If your child says they love their other parent more than they love you. Instead of taking offence, allow space for them to express their feelings and hear it as a call to action. 
They want to feel more connected to you and you need to be the one to create that connection. 
You’ve got this muma! 💖💪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v>
          </cell>
          <cell r="D21" t="str">
            <v>REELS</v>
          </cell>
          <cell r="E21">
            <v>0</v>
          </cell>
          <cell r="F21">
            <v>3402</v>
          </cell>
          <cell r="G21">
            <v>58</v>
          </cell>
          <cell r="H21">
            <v>2</v>
          </cell>
          <cell r="I21">
            <v>1</v>
          </cell>
          <cell r="J21">
            <v>29</v>
          </cell>
          <cell r="K21">
            <v>0</v>
          </cell>
        </row>
        <row r="22">
          <cell r="A22">
            <v>45624</v>
          </cell>
          <cell r="B22" t="str">
            <v>17927643506978216</v>
          </cell>
          <cell r="C22" t="str">
            <v>Who’s the person that’s been there for you more than they know this year?
You’ve got this muma! 💖💪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v>
          </cell>
          <cell r="D22" t="str">
            <v>REELS</v>
          </cell>
          <cell r="E22">
            <v>0</v>
          </cell>
          <cell r="F22">
            <v>2014</v>
          </cell>
          <cell r="G22">
            <v>24</v>
          </cell>
          <cell r="H22">
            <v>5</v>
          </cell>
          <cell r="I22">
            <v>3</v>
          </cell>
          <cell r="J22">
            <v>11</v>
          </cell>
          <cell r="K22">
            <v>0</v>
          </cell>
        </row>
        <row r="23">
          <cell r="A23">
            <v>45617</v>
          </cell>
          <cell r="B23" t="str">
            <v>17876292222207818</v>
          </cell>
          <cell r="C23" t="str">
            <v>I don’t know who needs to hear this but divorce doesn’t have to be the end of your child’s happy childhood, it can be the beginning of it…
I am a therapist and divorced mum, and I am running a free masterclass to show you how. Comment 'Class' to sign up. 💖💪
 #mumanxiety #mumguilt #mumguiltisreal #divorcewithkids #separationwithkids #coparenting #supportingchildrenthroughdivorce #childcentereddivorce #parentinganddivorce #parentingduringdivorce #parentingguide #singleparenting #singlemums #singlemumuk #singlemumlife</v>
          </cell>
          <cell r="D23" t="str">
            <v>REELS</v>
          </cell>
          <cell r="E23">
            <v>0</v>
          </cell>
          <cell r="F23">
            <v>5228</v>
          </cell>
          <cell r="G23">
            <v>121</v>
          </cell>
          <cell r="H23">
            <v>159</v>
          </cell>
          <cell r="I23">
            <v>4</v>
          </cell>
          <cell r="J23">
            <v>41</v>
          </cell>
          <cell r="K23">
            <v>0</v>
          </cell>
        </row>
        <row r="24">
          <cell r="A24">
            <v>45617</v>
          </cell>
          <cell r="B24" t="str">
            <v>17875686192206247</v>
          </cell>
          <cell r="C24" t="str">
            <v>Comment ‘TEST’ and I’ll send you a link to my free personality test! Answered by you to give you insight on how your child’s brain works and how to support them based on that. Breaking down what your child needs to thrive through your divorce. 
You’ve got this muma! 💖💪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v>
          </cell>
          <cell r="D24" t="str">
            <v>REELS</v>
          </cell>
          <cell r="E24">
            <v>0</v>
          </cell>
          <cell r="F24">
            <v>900</v>
          </cell>
          <cell r="G24">
            <v>15</v>
          </cell>
          <cell r="H24">
            <v>32</v>
          </cell>
          <cell r="I24">
            <v>1</v>
          </cell>
          <cell r="J24">
            <v>9</v>
          </cell>
          <cell r="K24">
            <v>0</v>
          </cell>
        </row>
        <row r="25">
          <cell r="A25">
            <v>45616</v>
          </cell>
          <cell r="B25" t="str">
            <v>18019595006335480</v>
          </cell>
          <cell r="C25" t="str">
            <v>When I was a kid and my parents got divorced, I witnessed my Mum transformed... She became dedicated to self-care, self-development and healing herself... I watched her get a job, find herself, meet her own needs and thrive as a parent and human... There were definitely hard times, lots of tears and I was hurting over my parents divorce... But one of the best gifts my parents divorce gave me, was seeing my mum thrive into the person she is today, and teach me about self-care, self-love, boundaries and what healthy relationship looks like. I am running a free masterclass to teach you how to ensure this is your story. Comment 'Class' and I will DM you a link. From a therapist and fellow separated mum, you've got this!
 #divorcecommunity #lifeafterdivorce #divorcedparents #divorcedmum #divorcedmom #divorce #mumanxiety #mumguilt #mumguiltisreal #divorcewithkids #separationwithkids #coparenting #supportingchildrenthroughdivorce #childcentereddivorce #parentinganddivorce #parentingduringdivorce #parentingguide #singleparenting</v>
          </cell>
          <cell r="D25" t="str">
            <v>REELS</v>
          </cell>
          <cell r="E25">
            <v>0</v>
          </cell>
          <cell r="F25">
            <v>1175</v>
          </cell>
          <cell r="G25">
            <v>27</v>
          </cell>
          <cell r="H25">
            <v>12</v>
          </cell>
          <cell r="I25">
            <v>0</v>
          </cell>
          <cell r="J25">
            <v>12</v>
          </cell>
          <cell r="K25">
            <v>0</v>
          </cell>
        </row>
        <row r="26">
          <cell r="A26">
            <v>45615</v>
          </cell>
          <cell r="B26" t="str">
            <v>18121550719398060</v>
          </cell>
          <cell r="C26" t="str">
            <v>Comment ‘TEST’ and I’ll send you a link to my free personality test! Answered by you to give you insight on how your child’s brain works and how to support them based on that. Breaking down what your child needs to thrive through your divorce. 
You’ve got this muma! 💖💪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v>
          </cell>
          <cell r="D26" t="str">
            <v>REELS</v>
          </cell>
          <cell r="E26">
            <v>0</v>
          </cell>
          <cell r="F26">
            <v>967</v>
          </cell>
          <cell r="G26">
            <v>21</v>
          </cell>
          <cell r="H26">
            <v>40</v>
          </cell>
          <cell r="I26">
            <v>0</v>
          </cell>
          <cell r="J26">
            <v>14</v>
          </cell>
          <cell r="K26">
            <v>0</v>
          </cell>
        </row>
        <row r="27">
          <cell r="A27">
            <v>45615</v>
          </cell>
          <cell r="B27" t="str">
            <v>18049170218056179</v>
          </cell>
          <cell r="C27" t="str">
            <v>Comment 'CLASS' below and I will DM you an exclusive link to sign up FREE for the live masterclass 👇
 #singlemums #singlemumuk #singlemumlife #solomums #singlemomlife #singlemoms #singlemother #singleparents #divorcewithkids #separationwithkids #coparenting #supportingchildrenthroughdivorce #childcentereddivorce #parentinganddivorce</v>
          </cell>
          <cell r="D27" t="str">
            <v>REELS</v>
          </cell>
          <cell r="E27">
            <v>0</v>
          </cell>
          <cell r="F27">
            <v>3019</v>
          </cell>
          <cell r="G27">
            <v>49</v>
          </cell>
          <cell r="H27">
            <v>114</v>
          </cell>
          <cell r="I27">
            <v>1</v>
          </cell>
          <cell r="J27">
            <v>26</v>
          </cell>
          <cell r="K27">
            <v>0</v>
          </cell>
        </row>
        <row r="28">
          <cell r="A28">
            <v>45614</v>
          </cell>
          <cell r="B28" t="str">
            <v>18041689202156866</v>
          </cell>
          <cell r="C28" t="str">
            <v>I HOPE MY DAUGHTER DOESN'T ACCEPT THINGS I'VE ACCEPTED, THAT SHE KNOWS HER WORTH FROM THE START AND KNOWS SHE ALWAYS HAS ME IN HER CORNER.
I am a therapist and divorced mum, and I am running a free masterclass to show you how.
Comment 'Class' to sign up.
 #divorcecommunity #lifeafterdivorce #divorcedparents #divorcedmum #divorcedmom #divorce #mumanxiety #mumguilt #mumguiltisreal</v>
          </cell>
          <cell r="D28" t="str">
            <v>FEED</v>
          </cell>
          <cell r="E28">
            <v>2799</v>
          </cell>
          <cell r="F28">
            <v>2552</v>
          </cell>
          <cell r="G28">
            <v>162</v>
          </cell>
          <cell r="H28">
            <v>18</v>
          </cell>
          <cell r="I28">
            <v>0</v>
          </cell>
          <cell r="J28">
            <v>56</v>
          </cell>
          <cell r="K28">
            <v>0</v>
          </cell>
        </row>
        <row r="29">
          <cell r="A29">
            <v>45613</v>
          </cell>
          <cell r="B29" t="str">
            <v>18014677454392667</v>
          </cell>
          <cell r="C29" t="str">
            <v>Comment 'CLASS' below and I will DM you an exclusive link to sign up FREE for the live masterclass 👇
 #mumanxiety #mumguilt #mumguiltisreal #divorcewithkids #separationwithkids #coparenting #supportingchildrenthroughdivorce #childcentereddivorce #parentinganddivorce #parentingduringdivorce #parentingguide #singleparenting #singlemums #singlemumuk #singlemumlife #solomums #singlemomlife #singlemoms #singlemother</v>
          </cell>
          <cell r="D29" t="str">
            <v>FEED</v>
          </cell>
          <cell r="E29">
            <v>1692</v>
          </cell>
          <cell r="F29">
            <v>1543</v>
          </cell>
          <cell r="G29">
            <v>29</v>
          </cell>
          <cell r="H29">
            <v>24</v>
          </cell>
          <cell r="I29">
            <v>0</v>
          </cell>
          <cell r="J29">
            <v>25</v>
          </cell>
          <cell r="K29">
            <v>0</v>
          </cell>
        </row>
        <row r="30">
          <cell r="A30">
            <v>45612</v>
          </cell>
          <cell r="B30" t="str">
            <v>18077447254583656</v>
          </cell>
          <cell r="C30" t="str">
            <v>8 reminders you need to hear today as a divorced mum:
1. Life is too short to let loneliness drive you back to toxic people
2. Sometimes what didn't work out for you really worked out for you
3. Life is to be lived - not controlled
4. Change is scary, but so is staying the same
5. Some people judge you for changing, other people celebrate you for growing - choose your circle wisely
6. Love yourself instead of loving the idea of other people loving you
7. Just because it's taking time doesn't mean it's not happening
8. Get yourself the support you need to ensure your children thrive. I am running a free masterclass to give you the tools you need. 
Comment 'Class' and I'll send you a link to sign up!
 #divorcecommunity #lifeafterdivorce #divorcedparents #divorcedmum #divorcedmom #divorce #singlemums #singlemumuk #singlemumlife #solomums #singlemomlife #singlemoms #singlemother #singleparents</v>
          </cell>
          <cell r="D30" t="str">
            <v>FEED</v>
          </cell>
          <cell r="E30">
            <v>9096</v>
          </cell>
          <cell r="F30">
            <v>8063</v>
          </cell>
          <cell r="G30">
            <v>430</v>
          </cell>
          <cell r="H30">
            <v>40</v>
          </cell>
          <cell r="I30">
            <v>0</v>
          </cell>
          <cell r="J30">
            <v>197</v>
          </cell>
          <cell r="K30">
            <v>0</v>
          </cell>
        </row>
        <row r="31">
          <cell r="A31">
            <v>45611</v>
          </cell>
          <cell r="B31" t="str">
            <v>17998157399701918</v>
          </cell>
          <cell r="C31" t="str">
            <v>Single mums:
I am running a free masterclass series on how to support your children to thrive through divorce.
Comment 'Class' to sign up.
 #divorcecommunity #lifeafterdivorce #divorcedparents #divorcedmum #divorcedmom #divorce #singlemums #singlemumuk #singlemumlife #solomums #singlemomlife #singlemoms #singlemother</v>
          </cell>
          <cell r="D31" t="str">
            <v>FEED</v>
          </cell>
          <cell r="E31">
            <v>1475</v>
          </cell>
          <cell r="F31">
            <v>1404</v>
          </cell>
          <cell r="G31">
            <v>20</v>
          </cell>
          <cell r="H31">
            <v>34</v>
          </cell>
          <cell r="I31">
            <v>0</v>
          </cell>
          <cell r="J31">
            <v>6</v>
          </cell>
          <cell r="K31">
            <v>0</v>
          </cell>
        </row>
        <row r="32">
          <cell r="A32">
            <v>45610</v>
          </cell>
          <cell r="B32" t="str">
            <v>18024620363250346</v>
          </cell>
          <cell r="C32" t="str">
            <v>If you snap at your child because you're stressed by everything that motherhood brings, as well as the pressures of divorce... That's normal! You are human and you won't get it right all of the time. What matters is that you make a repair with your child... I am a therapist and a divorced Mum of 2, and this is what I say to repair with my children... I am sorry for speaking in a cross voice. I have my own big feelings and they came out in a cross voice. I am sure that felt scary and sad for you. It's not your fault. I love you so much.
Remember: Good mums don't get it right all the time... Good mums repair!"
I am running a free masterclass series that will teach you how to get it right for your kids through divorce. Spaces are limited.
Comment 'Class' to sign up.
 #singlemums #singlemumuk #singlemumlife #solomums #singlemomlife #singlemoms #singlemother #singleparents #divorcewithkids #separationwithkids #coparenting #supportingchildrenthroughdivorce #childcentereddivorce #parentinganddivorce</v>
          </cell>
          <cell r="D32" t="str">
            <v>FEED</v>
          </cell>
          <cell r="E32">
            <v>2635</v>
          </cell>
          <cell r="F32">
            <v>2454</v>
          </cell>
          <cell r="G32">
            <v>58</v>
          </cell>
          <cell r="H32">
            <v>19</v>
          </cell>
          <cell r="I32">
            <v>0</v>
          </cell>
          <cell r="J32">
            <v>55</v>
          </cell>
          <cell r="K32">
            <v>0</v>
          </cell>
        </row>
        <row r="33">
          <cell r="A33">
            <v>45609</v>
          </cell>
          <cell r="B33" t="str">
            <v>17984941109767323</v>
          </cell>
          <cell r="C33" t="str">
            <v>I don’t know who needs to hear this but divorce doesn’t have to be the end of your child’s happy childhood, it can be the beginning of it…
I am a therapist and divorced mum, and I am running a free masterclass to show you how. Comment 'Class' to sign up. 💖💪
 #mumanxiety #mumguilt #mumguiltisreal #divorcecommunity #lifeafterdivorce #divorcedparents #divorcedmum #divorcedmom #divorce</v>
          </cell>
          <cell r="D33" t="str">
            <v>FEED</v>
          </cell>
          <cell r="E33">
            <v>2517</v>
          </cell>
          <cell r="F33">
            <v>2332</v>
          </cell>
          <cell r="G33">
            <v>94</v>
          </cell>
          <cell r="H33">
            <v>66</v>
          </cell>
          <cell r="I33">
            <v>0</v>
          </cell>
          <cell r="J33">
            <v>34</v>
          </cell>
          <cell r="K33">
            <v>0</v>
          </cell>
        </row>
        <row r="34">
          <cell r="A34">
            <v>45608</v>
          </cell>
          <cell r="B34" t="str">
            <v>18024479765446917</v>
          </cell>
          <cell r="C34" t="str">
            <v>When I was a kid and my parents got divorced, I witnessed my Mum transformed... She became dedicated to self-care, self-development and healing herself... I watched her get a job, find herself, meet her own needs and thrive as a parent and human... There were definitely hard times, lots of tears and I was hurting over my parents divorce... But one of the best gifts my parents divorce gave me, was seeing my mum thrive into the person she is today, and teach me about self-care, self-love, boundaries and what healthy relationship looks like. I am running a free masterclass to teach you how to ensure this is your story. 
Comment 'Class' and I will DM you a link. 
From a therapist and fellow separated mum, you've got this!
 #mumanxiety #mumguilt #mumguiltisreal #singlemums #singlemumuk #singlemumlife #solomums #singlemomlife #singlemoms #singlemother #singleparents</v>
          </cell>
          <cell r="D34" t="str">
            <v>FEED</v>
          </cell>
          <cell r="E34">
            <v>5276</v>
          </cell>
          <cell r="F34">
            <v>4684</v>
          </cell>
          <cell r="G34">
            <v>262</v>
          </cell>
          <cell r="H34">
            <v>114</v>
          </cell>
          <cell r="I34">
            <v>0</v>
          </cell>
          <cell r="J34">
            <v>106</v>
          </cell>
          <cell r="K34">
            <v>0</v>
          </cell>
        </row>
        <row r="35">
          <cell r="A35">
            <v>45607</v>
          </cell>
          <cell r="B35" t="str">
            <v>18025300646448198</v>
          </cell>
          <cell r="C35" t="str">
            <v>Divorce Transformed My Mum... She became dedicated to self-care, self-development and healing herself... I watched her get a job, find herself, meet her own needs and thrive as a parent and human... There were definitely hard times, lots of tears and I was hurting over my parents divorce... But one of the best gifts my parents divorce gave me, was seeing my mum thrive into the person she is today, and teach me about self-care, self-love, boundaries and what healthy relationship looks like. To all of the separated Mum’s out there, remember that your strength and the lessons you teach your children through your divorce, can far outweigh the negatives! Keep going! You’ve got this!
Comment 'Class' for my free masterclass.
 #mumanxiety #mumguilt #mumguiltisreal #singlemums #singlemumuk #singlemumlife #solomums #singlemomlife #singlemoms #singlemother #singleparents #supportingchildrenthroughdivorce #childcentereddivorce #parentinganddivorce #parentingduringdivorce #parentingguide #singleparenting</v>
          </cell>
          <cell r="D35" t="str">
            <v>REELS</v>
          </cell>
          <cell r="E35">
            <v>0</v>
          </cell>
          <cell r="F35">
            <v>3131</v>
          </cell>
          <cell r="G35">
            <v>93</v>
          </cell>
          <cell r="H35">
            <v>20</v>
          </cell>
          <cell r="I35">
            <v>1</v>
          </cell>
          <cell r="J35">
            <v>50</v>
          </cell>
          <cell r="K35">
            <v>0</v>
          </cell>
        </row>
        <row r="36">
          <cell r="A36">
            <v>45606</v>
          </cell>
          <cell r="B36" t="str">
            <v>18048272566843979</v>
          </cell>
          <cell r="C36" t="str">
            <v>Comment 'CLASS' below and I will DM you an exclusive link to sign up FREE for the live masterclass 👇 
#divorcecommunity #lifeafterdivorce #divorcedparents #divorcedmum #divorcedmom #divorce #mumanxiety #mumguilt #mumguiltisreal</v>
          </cell>
          <cell r="D36" t="str">
            <v>FEED</v>
          </cell>
          <cell r="E36">
            <v>3068</v>
          </cell>
          <cell r="F36">
            <v>2827</v>
          </cell>
          <cell r="G36">
            <v>46</v>
          </cell>
          <cell r="H36">
            <v>98</v>
          </cell>
          <cell r="I36">
            <v>0</v>
          </cell>
          <cell r="J36">
            <v>40</v>
          </cell>
          <cell r="K36">
            <v>0</v>
          </cell>
        </row>
        <row r="37">
          <cell r="A37">
            <v>45605</v>
          </cell>
          <cell r="B37" t="str">
            <v>18281861011173718</v>
          </cell>
          <cell r="C37" t="str">
            <v>If you snap at your child because you're stressed by everything that motherhood brings, as well as the pressures of divorce... That's normal! You are human and you won't get it right all of the time. What matters is that you make a repair with your child... I am a therapist and a divorced Mum of 2, and this is what I say to repair with my children... I am sorry for speaking in a cross voice. I have my own big feelings and they came out in a cross voice. I am sure that felt scary and sad for you. It's not your fault. I love you so much.
Remember: Good mums don't get it right all the time... Good mums repair!"
I am running a free masterclass series that will teach you how to get it right for your kids through divorce. Spaces are limited.
Comment 'Class' to sign up.
 #divorcecommunity #lifeafterdivorce #divorcedparents #divorcedmum #divorcedmom #divorce #mumanxiety #mumguilt #mumguiltisreal #singlemums #singlemumuk #singlemumlife #solomums #singlemomlife #singlemoms #singlemother #singleparents</v>
          </cell>
          <cell r="D37" t="str">
            <v>REELS</v>
          </cell>
          <cell r="E37">
            <v>0</v>
          </cell>
          <cell r="F37">
            <v>2681</v>
          </cell>
          <cell r="G37">
            <v>104</v>
          </cell>
          <cell r="H37">
            <v>38</v>
          </cell>
          <cell r="I37">
            <v>1</v>
          </cell>
          <cell r="J37">
            <v>55</v>
          </cell>
          <cell r="K37">
            <v>0</v>
          </cell>
        </row>
        <row r="38">
          <cell r="A38">
            <v>45600</v>
          </cell>
          <cell r="B38" t="str">
            <v>17846658567340742</v>
          </cell>
          <cell r="C38" t="str">
            <v>Comment ‘CLASS’ to sign up to my free masterclass series! Breaking down what your child needs to thrive through your divorce. 
You’ve got this muma! 💖💪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v>
          </cell>
          <cell r="D38" t="str">
            <v>REELS</v>
          </cell>
          <cell r="E38">
            <v>0</v>
          </cell>
          <cell r="F38">
            <v>1837</v>
          </cell>
          <cell r="G38">
            <v>40</v>
          </cell>
          <cell r="H38">
            <v>56</v>
          </cell>
          <cell r="I38">
            <v>2</v>
          </cell>
          <cell r="J38">
            <v>97</v>
          </cell>
          <cell r="K38">
            <v>0</v>
          </cell>
        </row>
        <row r="39">
          <cell r="A39">
            <v>45598</v>
          </cell>
          <cell r="B39" t="str">
            <v>18283328140241715</v>
          </cell>
          <cell r="C39" t="str">
            <v>Comment ‘CLASS’ to sign up to my free masterclass series T hat will break down what your child needs to thrive through your divorce. 
You’ve got this muma! 💖💪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v>
          </cell>
          <cell r="D39" t="str">
            <v>REELS</v>
          </cell>
          <cell r="E39">
            <v>0</v>
          </cell>
          <cell r="F39">
            <v>2811</v>
          </cell>
          <cell r="G39">
            <v>78</v>
          </cell>
          <cell r="H39">
            <v>93</v>
          </cell>
          <cell r="I39">
            <v>4</v>
          </cell>
          <cell r="J39">
            <v>125</v>
          </cell>
          <cell r="K39">
            <v>0</v>
          </cell>
        </row>
        <row r="40">
          <cell r="A40">
            <v>45587</v>
          </cell>
          <cell r="B40" t="str">
            <v>18167401450314418</v>
          </cell>
          <cell r="C40" t="str">
            <v>Comment 'CLASS' below and I will DM you an exclusive link to sign up FREE for the live masterclass 👇 
#divorcecommunity #lifeafterdivorce #divorcedparents #divorcedmum #divorcedmom #divorce #mumanxiety #mumguilt #mumguiltisreal</v>
          </cell>
          <cell r="D40" t="str">
            <v>FEED</v>
          </cell>
          <cell r="E40">
            <v>3895</v>
          </cell>
          <cell r="F40">
            <v>3827</v>
          </cell>
          <cell r="G40">
            <v>76</v>
          </cell>
          <cell r="H40">
            <v>177</v>
          </cell>
          <cell r="I40">
            <v>0</v>
          </cell>
          <cell r="J40">
            <v>64</v>
          </cell>
          <cell r="K40">
            <v>0</v>
          </cell>
        </row>
        <row r="41">
          <cell r="A41">
            <v>45545</v>
          </cell>
          <cell r="B41" t="str">
            <v>18109557286408102</v>
          </cell>
          <cell r="C41" t="str">
            <v>I HOPE MY DAUGHTER DOESN'T ACCEPT THINGS I'VE ACCEPTED, THAT SHE KNOWS HER WORTH FROM THE START AND KNOWS SHE ALWAYS HAS ME IN HER CORNER.
I am a therapist and divorced mum, and I am running a free masterclass to show you how. 
Comment 'Class' to sign up.
 #mumanxiety #mumguilt #mumguiltisreal #singlemums #singlemumuk #singlemumlife #solomums #singlemomlife #singlemoms #singlemother #singleparents</v>
          </cell>
          <cell r="D41" t="str">
            <v>FEED</v>
          </cell>
          <cell r="E41">
            <v>4797</v>
          </cell>
          <cell r="F41">
            <v>4307</v>
          </cell>
          <cell r="G41">
            <v>229</v>
          </cell>
          <cell r="H41">
            <v>43</v>
          </cell>
          <cell r="I41">
            <v>0</v>
          </cell>
          <cell r="J41">
            <v>66</v>
          </cell>
          <cell r="K41">
            <v>0</v>
          </cell>
        </row>
        <row r="42">
          <cell r="A42">
            <v>45544</v>
          </cell>
          <cell r="B42" t="str">
            <v>17851227285275913</v>
          </cell>
          <cell r="C42" t="str">
            <v>Here's a story about how I helped my kids thrive through divorce...
I focused on what I can control...
I surrounded myself with people who could support me...
And I made a step-by-step guide of what my kids needed to feel secure, BUT...
You don't have to make this guide, because I want to share mine with you, I am a therapist and it brought so much security to my kids lives...
Comment 'Class' and I will send you a link to my exclusive free masterclass. So you can support your kids through divorce in the right way. 
You've got this!
 #singlemums #singlemumuk #singlemumlife #solomums #singlemomlife #singlemoms #singlemother #singleparents #divorcecommunity #lifeafterdivorce #divorcedparents #divorcedmum #divorcedmom #divorce</v>
          </cell>
          <cell r="D42" t="str">
            <v>FEED</v>
          </cell>
          <cell r="E42">
            <v>2250</v>
          </cell>
          <cell r="F42">
            <v>2085</v>
          </cell>
          <cell r="G42">
            <v>41</v>
          </cell>
          <cell r="H42">
            <v>54</v>
          </cell>
          <cell r="I42">
            <v>0</v>
          </cell>
          <cell r="J42">
            <v>20</v>
          </cell>
          <cell r="K42">
            <v>0</v>
          </cell>
        </row>
        <row r="43">
          <cell r="A43">
            <v>45543</v>
          </cell>
          <cell r="B43" t="str">
            <v>18310435600092501</v>
          </cell>
          <cell r="C43" t="str">
            <v>Comment 'CLASS' below and I will DM you an exclusive link to sign up FREE for the live masterclass 👇
 #divorcewithkids #separationwithkids #coparenting #supportingchildrenthroughdivorce #childcentereddivorce #parentinganddivorce #parentingduringdivorce #parentingguide #singleparenting #mumanxiety #mumguilt #mumguiltisreal #divorcecommunity #lifeafterdivorce #divorcedparents #divorcedmum #divorcedmom #divorce</v>
          </cell>
          <cell r="D43" t="str">
            <v>FEED</v>
          </cell>
          <cell r="E43">
            <v>2888</v>
          </cell>
          <cell r="F43">
            <v>2663</v>
          </cell>
          <cell r="G43">
            <v>33</v>
          </cell>
          <cell r="H43">
            <v>80</v>
          </cell>
          <cell r="I43">
            <v>0</v>
          </cell>
          <cell r="J43">
            <v>32</v>
          </cell>
          <cell r="K43">
            <v>0</v>
          </cell>
        </row>
        <row r="44">
          <cell r="A44">
            <v>45542</v>
          </cell>
          <cell r="B44" t="str">
            <v>17964468689664838</v>
          </cell>
          <cell r="C44" t="str">
            <v>Comment 'CLASS' below and I will DM you an exclusive link to sign up FREE for the live masterclass 👇
 #divorcewithkids #separationwithkids #coparenting #supportingchildrenthroughdivorce #childcentereddivorce #parentinganddivorce #parentingduringdivorce #parentingguide #singleparenting #mumanxiety #mumguilt #mumguiltisreal</v>
          </cell>
          <cell r="D44" t="str">
            <v>FEED</v>
          </cell>
          <cell r="E44">
            <v>2937</v>
          </cell>
          <cell r="F44">
            <v>2811</v>
          </cell>
          <cell r="G44">
            <v>41</v>
          </cell>
          <cell r="H44">
            <v>31</v>
          </cell>
          <cell r="I44">
            <v>0</v>
          </cell>
          <cell r="J44">
            <v>29</v>
          </cell>
          <cell r="K44">
            <v>0</v>
          </cell>
        </row>
        <row r="45">
          <cell r="A45">
            <v>45541</v>
          </cell>
          <cell r="B45" t="str">
            <v>18164320771308795</v>
          </cell>
          <cell r="C45" t="str">
            <v>Comment 'CLASS' below and I will DM you an exclusive link to sign up FREE for the live masterclass 👇
 #mumanxiety #mumguilt #mumguiltisreal #divorcewithkids #separationwithkids #coparenting #supportingchildrenthroughdivorce #childcentereddivorce #parentinganddivorce #parentingduringdivorce #parentingguide #singleparenting #singlemums</v>
          </cell>
          <cell r="D45" t="str">
            <v>FEED</v>
          </cell>
          <cell r="E45">
            <v>2006</v>
          </cell>
          <cell r="F45">
            <v>1933</v>
          </cell>
          <cell r="G45">
            <v>78</v>
          </cell>
          <cell r="H45">
            <v>15</v>
          </cell>
          <cell r="I45">
            <v>0</v>
          </cell>
          <cell r="J45">
            <v>27</v>
          </cell>
          <cell r="K45">
            <v>0</v>
          </cell>
        </row>
        <row r="46">
          <cell r="A46">
            <v>45540</v>
          </cell>
          <cell r="B46" t="str">
            <v>18020162273212281</v>
          </cell>
          <cell r="C46" t="str">
            <v>If you snap at your child because you're stressed by everything that motherhood brings, as well as the pressures of divorce... That's normal! You are human and you won't get it right all of the time. What matters is that you make a repair with your child... I am a therapist and a divorced Mum of 2, and this is what I say to repair with my children... I am sorry for speaking in a cross voice. I have my own big feelings and they came out in a cross voice. I am sure that felt scary and sad for you. It's not your fault. I love you so much. 
Remember: Good mums don't get it right all the time... Good mums repair!"
I am running a free masterclass series that will teach you how to get it right for your kids through divorce. Spaces are limited. 
Comment 'Class' to sign up.
 #mumanxiety #mumguilt #mumguiltisreal #divorcecommunity #lifeafterdivorce #divorcedparents #divorcedmum #divorcedmom #divorce #divorcewithkids #separationwithkids #coparenting #supportingchildrenthroughdivorce #childcentereddivorce #parentinganddivorce #parentingduringdivorce #parentingguide #singleparenting</v>
          </cell>
          <cell r="D46" t="str">
            <v>FEED</v>
          </cell>
          <cell r="E46">
            <v>3285</v>
          </cell>
          <cell r="F46">
            <v>3126</v>
          </cell>
          <cell r="G46">
            <v>114</v>
          </cell>
          <cell r="H46">
            <v>50</v>
          </cell>
          <cell r="I46">
            <v>0</v>
          </cell>
          <cell r="J46">
            <v>72</v>
          </cell>
          <cell r="K46">
            <v>0</v>
          </cell>
        </row>
        <row r="47">
          <cell r="A47">
            <v>45539</v>
          </cell>
          <cell r="B47" t="str">
            <v>18094173529454842</v>
          </cell>
          <cell r="C47" t="str">
            <v>Do you ever look at your friends who are in healthy relationships with their family together and feel sad that your children don’t have that?
I suffered with this for years!
As a therapist and divorced mum I want you to know that there is a way for your children to thrive through your divorce...
I am running a free masterclass series that will teach you how. Spaces are limited. Comment 'Class' to sign up.
 #divorcewithkids #separationwithkids #coparenting  #parentingduringdivorce #parentingguide #singleparenting #singlemums #singlemumuk #singlemumlife #solomums #singlemomlife #singlemoms #singlemother #singleparents</v>
          </cell>
          <cell r="D47" t="str">
            <v>FEED</v>
          </cell>
          <cell r="E47">
            <v>2885</v>
          </cell>
          <cell r="F47">
            <v>2685</v>
          </cell>
          <cell r="G47">
            <v>29</v>
          </cell>
          <cell r="H47">
            <v>26</v>
          </cell>
          <cell r="I47">
            <v>0</v>
          </cell>
          <cell r="J47">
            <v>9</v>
          </cell>
          <cell r="K47">
            <v>0</v>
          </cell>
        </row>
        <row r="48">
          <cell r="A48">
            <v>45538</v>
          </cell>
          <cell r="B48" t="str">
            <v>18092615212421294</v>
          </cell>
          <cell r="C48" t="str">
            <v>Single mums:
I am running a free masterclass series on how to support your children to thrive through divorce.
Comment 'Class' to sign up.
 #divorcecommunity #lifeafterdivorce #divorcedparents #divorcedmum #divorcedmom #divorce #singlemums #singlemumuk #singlemumlife #solomums #singlemomlife #singlemoms #singlemother #singleparents</v>
          </cell>
          <cell r="D48" t="str">
            <v>FEED</v>
          </cell>
          <cell r="E48">
            <v>1823</v>
          </cell>
          <cell r="F48">
            <v>1746</v>
          </cell>
          <cell r="G48">
            <v>17</v>
          </cell>
          <cell r="H48">
            <v>48</v>
          </cell>
          <cell r="I48">
            <v>0</v>
          </cell>
          <cell r="J48">
            <v>9</v>
          </cell>
          <cell r="K48">
            <v>0</v>
          </cell>
        </row>
        <row r="49">
          <cell r="A49">
            <v>45537</v>
          </cell>
          <cell r="B49" t="str">
            <v>18436059886070803</v>
          </cell>
          <cell r="C49" t="str">
            <v>I don’t know who needs to hear this but divorce doesn’t have to be the end of your child’s happy childhood, it can be the beginning of it…
I am a therapist and divorced mum, and I am running a free masterclass to show you how. Comment 'Class' to sign up. 💖💪
 #divorcewithkids #separationwithkids #coparenting #supportingchildrenthroughdivorce #childcentereddivorce #parentinganddivorce #parentingduringdivorce #parentingguide #singleparenting #singlemums #singlemumuk #singlemumlife #solomums #singlemomlife #singlemoms #singlemother #singleparents</v>
          </cell>
          <cell r="D49" t="str">
            <v>FEED</v>
          </cell>
          <cell r="E49">
            <v>2564</v>
          </cell>
          <cell r="F49">
            <v>2398</v>
          </cell>
          <cell r="G49">
            <v>56</v>
          </cell>
          <cell r="H49">
            <v>49</v>
          </cell>
          <cell r="I49">
            <v>0</v>
          </cell>
          <cell r="J49">
            <v>17</v>
          </cell>
          <cell r="K49">
            <v>0</v>
          </cell>
        </row>
        <row r="50">
          <cell r="A50">
            <v>45536</v>
          </cell>
          <cell r="B50" t="str">
            <v>18365309383108338</v>
          </cell>
          <cell r="C50" t="str">
            <v>Divorce Transformed My Mum... She became dedicated to self-care, self-development and healing herself... I watched her get a job, find herself, meet her own needs and thrive as a parent and human... There were definitely hard times, lots of tears and I was hurting over my parents divorce ... But one of the best gifts my parents divorce gave me, was seeing my mum thrive into the person she is today, and teach me about self-care, self-love, boundaries and what healthy relationship looks like. To all of the separated Mum’s out there, remember that your strength and the lessons you teach your children through your divorce, can far outweigh the negatives! Keep going! You’ve got this!
Comment 'Class' for my free masterclass.
 #divorcecommunity #lifeafterdivorce #divorcedparents #divorcedmum #divorcedmom #divorce #mumanxiety #mumguilt #mumguiltisreal</v>
          </cell>
          <cell r="D50" t="str">
            <v>REELS</v>
          </cell>
          <cell r="E50">
            <v>0</v>
          </cell>
          <cell r="F50">
            <v>4946</v>
          </cell>
          <cell r="G50">
            <v>152</v>
          </cell>
          <cell r="H50">
            <v>70</v>
          </cell>
          <cell r="I50">
            <v>0</v>
          </cell>
          <cell r="J50">
            <v>76</v>
          </cell>
          <cell r="K50">
            <v>0</v>
          </cell>
        </row>
        <row r="51">
          <cell r="A51">
            <v>45535</v>
          </cell>
          <cell r="B51" t="str">
            <v>17928975944925624</v>
          </cell>
          <cell r="C51" t="str">
            <v>8 reminders you need to hear today as a divorced mum:
1. Life is too short to let loneliness drive you back to toxic people
2. Sometimes what didn't work out for you really worked out for you
3. Life is to be lived - not controlled
4. Change is scary, but so is staying the same
5. Some people judge you for changing, other people celebrate you for growing - choose your circle wisely
6. Love yourself instead of loving the idea of other people loving you
7. Just because it's taking time doesn't mean it's not happening
8. Get yourself the support you need to ensure your children thrive. I am running a free masterclass to give you the tools you need. Comment 'Class' and I'll send you a link to sign up
 #divorcecommunity #lifeafterdivorce #divorcedparents #divorcedmum #divorcedmom #divorce #singlemums #singlemumuk #singlemumlife #solomums #singlemomlife #singlemoms #singlemother #singleparents</v>
          </cell>
          <cell r="D51" t="str">
            <v>FEED</v>
          </cell>
          <cell r="E51">
            <v>8291</v>
          </cell>
          <cell r="F51">
            <v>8200</v>
          </cell>
          <cell r="G51">
            <v>254</v>
          </cell>
          <cell r="H51">
            <v>31</v>
          </cell>
          <cell r="I51">
            <v>0</v>
          </cell>
          <cell r="J51">
            <v>149</v>
          </cell>
          <cell r="K51">
            <v>0</v>
          </cell>
        </row>
        <row r="52">
          <cell r="A52">
            <v>45534</v>
          </cell>
          <cell r="B52" t="str">
            <v>18014450045303860</v>
          </cell>
          <cell r="C52" t="str">
            <v>When I was a kid and my parents got divorced, I witnessed my Mum transformed... She became dedicated to self-care, self-development and healing herself... I watched her get a job, find herself, meet her own needs and thrive as a parent and human... There were definitely hard times, lots of tears and I was hurting over my parents divorce... But one of the best gifts my parents divorce gave me, was seeing my mum thrive into the person she is today, and teach me about self-care, self-love, boundaries and what healthy relationship looks like. I am running a free masterclass to teach you how to ensure this is your story. Comment 'Class' and I will DM you a link. From a therapist and fellow separated mum, you've got this!
#singleparents #divorcewithkids #separationwithkids #supportingchildrenthroughdivorce #parentinganddivorce #parentingduringdivorce #singleparenting #mumanxiety #mumguilt</v>
          </cell>
          <cell r="D52" t="str">
            <v>FEED</v>
          </cell>
          <cell r="E52">
            <v>2915</v>
          </cell>
          <cell r="F52">
            <v>2753</v>
          </cell>
          <cell r="G52">
            <v>97</v>
          </cell>
          <cell r="H52">
            <v>48</v>
          </cell>
          <cell r="I52">
            <v>0</v>
          </cell>
          <cell r="J52">
            <v>50</v>
          </cell>
          <cell r="K52">
            <v>0</v>
          </cell>
        </row>
        <row r="53">
          <cell r="A53">
            <v>45520</v>
          </cell>
          <cell r="B53" t="str">
            <v>18032651030178268</v>
          </cell>
          <cell r="C53" t="str">
            <v>8 Reminders for Mums Going Through Divorce
Reminder 1: Take Time for Yourself: Self-care is not selfish; it's essential.
Reminder 2: Seek Support: Don't be afraid to ask for help from friends or professionals.
Reminder 3: Stay Positive: Focus on the new opportunities and growth.
Reminder 4: Communicate: Keep lines of communication open with your children.
Reminder 5:  Be Kind to Yourself: It's okay to have bad days; give yourself grace.
Reminder 6: Stay Organised: Keep important documents and schedules in order.
Reminder 7:  Prioritise Well-being: Make health and wellness a priority for you and your children.
Reminder 8: Look Forward: Focus on building a bright future for you and your family.
You've got this!
#DivorceSupport, #MumLife, #SelfCare #divorcewithkids #separationwithkids #coparenting #supportingchildrenthroughdivorce #childcentereddivorce #parentinganddivorce #parentingduringdivorce #parentingguide #singleparenting #singlemums #singlemumuk #singlemumlife #solomums #singlemomlife #singlemoms #singlemother #singleparents</v>
          </cell>
          <cell r="D53" t="str">
            <v>FEED</v>
          </cell>
          <cell r="E53">
            <v>2431</v>
          </cell>
          <cell r="F53">
            <v>2237</v>
          </cell>
          <cell r="G53">
            <v>85</v>
          </cell>
          <cell r="H53">
            <v>1</v>
          </cell>
          <cell r="I53">
            <v>0</v>
          </cell>
          <cell r="J53">
            <v>41</v>
          </cell>
          <cell r="K53">
            <v>0</v>
          </cell>
        </row>
        <row r="54">
          <cell r="A54">
            <v>45519</v>
          </cell>
          <cell r="B54" t="str">
            <v>18365540305100555</v>
          </cell>
          <cell r="C54" t="str">
            <v>The key things you need to do, to process your sadness around your divorce so your kids can too…	
Comment ‘guide’ and I will send you a free step-by-step guide.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v>
          </cell>
          <cell r="D54" t="str">
            <v>FEED</v>
          </cell>
          <cell r="E54">
            <v>1118</v>
          </cell>
          <cell r="F54">
            <v>1079</v>
          </cell>
          <cell r="G54">
            <v>16</v>
          </cell>
          <cell r="H54">
            <v>58</v>
          </cell>
          <cell r="I54">
            <v>0</v>
          </cell>
          <cell r="J54">
            <v>4</v>
          </cell>
          <cell r="K54">
            <v>0</v>
          </cell>
        </row>
        <row r="55">
          <cell r="A55">
            <v>45517</v>
          </cell>
          <cell r="B55" t="str">
            <v>18263726083216263</v>
          </cell>
          <cell r="C55" t="str">
            <v>Do you ever look at your friends who are in healthy relationships with their family together and feel like you’ve let your kids down? I suffered with this for years!
#divorcecommunity #lifeafterdivorce #divorcedparents #divorcedmum #divorcedmom #divorce #singlemums #singlemumuk #singlemumlife #solomums #singlemomlife #singlemoms #singlemother #singleparents</v>
          </cell>
          <cell r="D55" t="str">
            <v>REELS</v>
          </cell>
          <cell r="E55">
            <v>0</v>
          </cell>
          <cell r="F55">
            <v>1314</v>
          </cell>
          <cell r="G55">
            <v>39</v>
          </cell>
          <cell r="H55">
            <v>0</v>
          </cell>
          <cell r="I55">
            <v>1</v>
          </cell>
          <cell r="J55">
            <v>6</v>
          </cell>
          <cell r="K55">
            <v>0</v>
          </cell>
        </row>
        <row r="56">
          <cell r="A56">
            <v>45516</v>
          </cell>
          <cell r="B56" t="str">
            <v>17911374569988909</v>
          </cell>
          <cell r="C56" t="str">
            <v>Reminder:
No matter what your marital status is, a loving, present parent is what your children really need to thrive!
From one separated mum to another, you’ve got this 💖💪
#mumanxiety #mumguilt #mumguiltisreal</v>
          </cell>
          <cell r="D56" t="str">
            <v>FEED</v>
          </cell>
          <cell r="E56">
            <v>1286</v>
          </cell>
          <cell r="F56">
            <v>1284</v>
          </cell>
          <cell r="G56">
            <v>46</v>
          </cell>
          <cell r="H56">
            <v>1</v>
          </cell>
          <cell r="I56">
            <v>1</v>
          </cell>
          <cell r="J56">
            <v>17</v>
          </cell>
          <cell r="K56">
            <v>0</v>
          </cell>
        </row>
        <row r="57">
          <cell r="A57">
            <v>45515</v>
          </cell>
          <cell r="B57" t="str">
            <v>18010442831330071</v>
          </cell>
          <cell r="C57" t="str">
            <v>"Picture this: Your child in 20 years time, happy, secure and thriving, all because of how you supported them through your divorce.
You've got this, mama!"
#singlemums #singlemumuk #singlemumlife #solomums #singlemomlife #singlemoms #singlemother #singleparents</v>
          </cell>
          <cell r="D57" t="str">
            <v>FEED</v>
          </cell>
          <cell r="E57">
            <v>1709</v>
          </cell>
          <cell r="F57">
            <v>1675</v>
          </cell>
          <cell r="G57">
            <v>52</v>
          </cell>
          <cell r="H57">
            <v>0</v>
          </cell>
          <cell r="I57">
            <v>1</v>
          </cell>
          <cell r="J57">
            <v>8</v>
          </cell>
          <cell r="K57">
            <v>0</v>
          </cell>
        </row>
        <row r="58">
          <cell r="A58">
            <v>45513</v>
          </cell>
          <cell r="B58" t="str">
            <v>18347817988138734</v>
          </cell>
          <cell r="C58" t="str">
            <v>Tears ran down my face as I dropped my son off to his dad, leaving as he cried...	
There has to be another way than this I felt...	
As a therapist, I worked hard to find that other way, a way that helped my son be happy and feel secure...
And now I have cracked it for my son, I want to share what I did with you...
Comment 'Guide' and I will DM you a link to my step-by-step guide.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v>
          </cell>
          <cell r="D58" t="str">
            <v>FEED</v>
          </cell>
          <cell r="E58">
            <v>2040</v>
          </cell>
          <cell r="F58">
            <v>1910</v>
          </cell>
          <cell r="G58">
            <v>32</v>
          </cell>
          <cell r="H58">
            <v>104</v>
          </cell>
          <cell r="I58">
            <v>0</v>
          </cell>
          <cell r="J58">
            <v>13</v>
          </cell>
          <cell r="K58">
            <v>0</v>
          </cell>
        </row>
        <row r="59">
          <cell r="A59">
            <v>45512</v>
          </cell>
          <cell r="B59" t="str">
            <v>18050919739826668</v>
          </cell>
          <cell r="C59" t="str">
            <v>If you snap at your child because you're stressed by everything that motherhood brings, as well as the pressures of divorce... That's normal! You are human and you won't get it right all of the time. What matters is that you make a repair with your child... I am a therapist and a divorced Mum of 2, and this is what I say to repair with my children... I am sorry for speaking in a cross voice. I have my own big feelings and they came out in a cross voice. I am sure that felt scary and sad for you. It's not your fault. I love you so much. Remember: Good mums don't get it right all the time... Good mums repair!"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v>
          </cell>
          <cell r="D59" t="str">
            <v>FEED</v>
          </cell>
          <cell r="E59">
            <v>2989</v>
          </cell>
          <cell r="F59">
            <v>2831</v>
          </cell>
          <cell r="G59">
            <v>157</v>
          </cell>
          <cell r="H59">
            <v>2</v>
          </cell>
          <cell r="I59">
            <v>0</v>
          </cell>
          <cell r="J59">
            <v>78</v>
          </cell>
          <cell r="K59">
            <v>0</v>
          </cell>
        </row>
        <row r="60">
          <cell r="A60">
            <v>45510</v>
          </cell>
          <cell r="B60" t="str">
            <v>18050838700839210</v>
          </cell>
          <cell r="C60" t="str">
            <v>Reminder:
No matter what your marital status is, a loving, present parent is what your children really need to thrive!
From one separated mum to another, you’ve got this 💖💪
#mumanxiety #mumguilt #mumguiltisreal</v>
          </cell>
          <cell r="D60" t="str">
            <v>FEED</v>
          </cell>
          <cell r="E60">
            <v>1185</v>
          </cell>
          <cell r="F60">
            <v>1180</v>
          </cell>
          <cell r="G60">
            <v>49</v>
          </cell>
          <cell r="H60">
            <v>0</v>
          </cell>
          <cell r="I60">
            <v>0</v>
          </cell>
          <cell r="J60">
            <v>4</v>
          </cell>
          <cell r="K60">
            <v>0</v>
          </cell>
        </row>
        <row r="61">
          <cell r="A61">
            <v>45509</v>
          </cell>
          <cell r="B61">
            <v>1.79052457409285E+16</v>
          </cell>
          <cell r="C61" t="str">
            <v>Comment ‘GUIDE’ for my free guide on how to help your child transition happily between homes. 
It's ok to say to your child...
‘I hear you don’t want to go to Dad’s house, sometimes we do what we want to do &amp; sometimes we do what we have to do. This, right now, is something we have to do.
It might feel hard, I know.
I also know you can do it &amp; that you'll be ok'
From one separated mum to another, you’ve got this 💖💪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v>
          </cell>
          <cell r="D61" t="str">
            <v>REELS</v>
          </cell>
          <cell r="E61">
            <v>0</v>
          </cell>
          <cell r="F61">
            <v>3504</v>
          </cell>
          <cell r="G61">
            <v>116</v>
          </cell>
          <cell r="H61">
            <v>35</v>
          </cell>
          <cell r="I61">
            <v>2</v>
          </cell>
          <cell r="J61">
            <v>65</v>
          </cell>
          <cell r="K61">
            <v>0</v>
          </cell>
        </row>
        <row r="62">
          <cell r="A62">
            <v>45508</v>
          </cell>
          <cell r="B62" t="str">
            <v>18047131999889355</v>
          </cell>
          <cell r="C62" t="str">
            <v>It can be really hard when our kids start to talk about our divorce to their friends...
It means other parents might know about our divorce before we are ready...
This can bring up huge feelings of not being a good enough mum, shame and failure...
If you are in this camp, I have been there...
It gets easier and this is not your story, it is just part of your story.
You've got this!
#mumanxiety #mumguilt #mumguiltisreal</v>
          </cell>
          <cell r="D62" t="str">
            <v>FEED</v>
          </cell>
          <cell r="E62">
            <v>776</v>
          </cell>
          <cell r="F62">
            <v>733</v>
          </cell>
          <cell r="G62">
            <v>12</v>
          </cell>
          <cell r="H62">
            <v>0</v>
          </cell>
          <cell r="I62">
            <v>0</v>
          </cell>
          <cell r="J62">
            <v>3</v>
          </cell>
          <cell r="K62">
            <v>0</v>
          </cell>
        </row>
      </sheetData>
      <sheetData sheetId="2">
        <row r="1">
          <cell r="A1" t="str">
            <v>Gender</v>
          </cell>
          <cell r="B1" t="str">
            <v>Age</v>
          </cell>
          <cell r="C1" t="str">
            <v>Profile followers</v>
          </cell>
        </row>
        <row r="2">
          <cell r="A2" t="str">
            <v>female</v>
          </cell>
          <cell r="B2" t="str">
            <v>35-44</v>
          </cell>
          <cell r="C2">
            <v>6352</v>
          </cell>
        </row>
        <row r="3">
          <cell r="A3" t="str">
            <v>female</v>
          </cell>
          <cell r="B3" t="str">
            <v>25-34</v>
          </cell>
          <cell r="C3">
            <v>2115</v>
          </cell>
        </row>
        <row r="4">
          <cell r="A4" t="str">
            <v>female</v>
          </cell>
          <cell r="B4" t="str">
            <v>45-54</v>
          </cell>
          <cell r="C4">
            <v>1749</v>
          </cell>
        </row>
        <row r="5">
          <cell r="A5" t="str">
            <v>undefined</v>
          </cell>
          <cell r="B5" t="str">
            <v>35-44</v>
          </cell>
          <cell r="C5">
            <v>866</v>
          </cell>
        </row>
        <row r="6">
          <cell r="A6" t="str">
            <v>undefined</v>
          </cell>
          <cell r="B6" t="str">
            <v>45-54</v>
          </cell>
          <cell r="C6">
            <v>349</v>
          </cell>
        </row>
        <row r="7">
          <cell r="A7" t="str">
            <v>undefined</v>
          </cell>
          <cell r="B7" t="str">
            <v>25-34</v>
          </cell>
          <cell r="C7">
            <v>330</v>
          </cell>
        </row>
        <row r="8">
          <cell r="A8" t="str">
            <v>female</v>
          </cell>
          <cell r="B8" t="str">
            <v>55-64</v>
          </cell>
          <cell r="C8">
            <v>119</v>
          </cell>
        </row>
        <row r="9">
          <cell r="A9" t="str">
            <v>female</v>
          </cell>
          <cell r="B9" t="str">
            <v>65+</v>
          </cell>
          <cell r="C9">
            <v>118</v>
          </cell>
        </row>
        <row r="10">
          <cell r="A10" t="str">
            <v>male</v>
          </cell>
          <cell r="B10" t="str">
            <v>35-44</v>
          </cell>
          <cell r="C10">
            <v>114</v>
          </cell>
        </row>
        <row r="11">
          <cell r="A11" t="str">
            <v>undefined</v>
          </cell>
          <cell r="B11" t="str">
            <v>18-24</v>
          </cell>
          <cell r="C11">
            <v>73</v>
          </cell>
        </row>
        <row r="12">
          <cell r="A12" t="str">
            <v>male</v>
          </cell>
          <cell r="B12" t="str">
            <v>25-34</v>
          </cell>
          <cell r="C12">
            <v>58</v>
          </cell>
        </row>
        <row r="13">
          <cell r="A13" t="str">
            <v>male</v>
          </cell>
          <cell r="B13" t="str">
            <v>45-54</v>
          </cell>
          <cell r="C13">
            <v>52</v>
          </cell>
        </row>
        <row r="14">
          <cell r="A14" t="str">
            <v>undefined</v>
          </cell>
          <cell r="B14" t="str">
            <v>55-64</v>
          </cell>
          <cell r="C14">
            <v>34</v>
          </cell>
        </row>
        <row r="15">
          <cell r="A15" t="str">
            <v>undefined</v>
          </cell>
          <cell r="B15" t="str">
            <v>13-17</v>
          </cell>
          <cell r="C15">
            <v>31</v>
          </cell>
        </row>
        <row r="16">
          <cell r="A16" t="str">
            <v>undefined</v>
          </cell>
          <cell r="B16" t="str">
            <v>65+</v>
          </cell>
          <cell r="C16">
            <v>26</v>
          </cell>
        </row>
        <row r="17">
          <cell r="A17" t="str">
            <v>female</v>
          </cell>
          <cell r="B17" t="str">
            <v>18-24</v>
          </cell>
          <cell r="C17">
            <v>26</v>
          </cell>
        </row>
        <row r="18">
          <cell r="A18" t="str">
            <v>male</v>
          </cell>
          <cell r="B18" t="str">
            <v>18-24</v>
          </cell>
          <cell r="C18">
            <v>16</v>
          </cell>
        </row>
        <row r="19">
          <cell r="A19" t="str">
            <v>male</v>
          </cell>
          <cell r="B19" t="str">
            <v>55-64</v>
          </cell>
          <cell r="C19">
            <v>10</v>
          </cell>
        </row>
        <row r="20">
          <cell r="A20" t="str">
            <v>female</v>
          </cell>
          <cell r="B20" t="str">
            <v>13-17</v>
          </cell>
          <cell r="C20">
            <v>4</v>
          </cell>
        </row>
        <row r="21">
          <cell r="A21" t="str">
            <v>male</v>
          </cell>
          <cell r="B21" t="str">
            <v>65+</v>
          </cell>
          <cell r="C21">
            <v>3</v>
          </cell>
        </row>
        <row r="22">
          <cell r="A22" t="str">
            <v>male</v>
          </cell>
          <cell r="B22" t="str">
            <v>13-17</v>
          </cell>
          <cell r="C22">
            <v>2</v>
          </cell>
        </row>
      </sheetData>
      <sheetData sheetId="3"/>
      <sheetData sheetId="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9AAB6-4A36-4F10-BC09-4879228C8620}">
  <sheetPr>
    <outlinePr summaryBelow="0" summaryRight="0"/>
  </sheetPr>
  <dimension ref="A1:L1000"/>
  <sheetViews>
    <sheetView tabSelected="1" workbookViewId="0">
      <selection sqref="A1:J1"/>
    </sheetView>
  </sheetViews>
  <sheetFormatPr defaultColWidth="12.6640625" defaultRowHeight="15.75" customHeight="1" x14ac:dyDescent="0.3"/>
  <cols>
    <col min="1" max="1" width="12.6640625" style="1"/>
    <col min="2" max="2" width="16.77734375" style="1" customWidth="1"/>
    <col min="3" max="3" width="17.33203125" style="1" customWidth="1"/>
    <col min="4" max="16384" width="12.6640625" style="1"/>
  </cols>
  <sheetData>
    <row r="1" spans="1:12" ht="15.75" customHeight="1" x14ac:dyDescent="0.3">
      <c r="A1" s="4" t="s">
        <v>179</v>
      </c>
      <c r="B1" s="4" t="s">
        <v>178</v>
      </c>
      <c r="C1" s="4" t="s">
        <v>177</v>
      </c>
      <c r="D1" s="4" t="s">
        <v>176</v>
      </c>
      <c r="E1" s="2" t="s">
        <v>175</v>
      </c>
      <c r="F1" s="2" t="s">
        <v>174</v>
      </c>
      <c r="G1" s="2" t="s">
        <v>173</v>
      </c>
      <c r="H1" s="2" t="s">
        <v>172</v>
      </c>
      <c r="I1" s="2" t="s">
        <v>171</v>
      </c>
      <c r="J1" s="2" t="s">
        <v>170</v>
      </c>
      <c r="K1" s="2" t="s">
        <v>169</v>
      </c>
      <c r="L1" s="4" t="s">
        <v>168</v>
      </c>
    </row>
    <row r="2" spans="1:12" ht="13.8" x14ac:dyDescent="0.3">
      <c r="A2" s="3">
        <v>45676</v>
      </c>
      <c r="B2" s="4" t="s">
        <v>167</v>
      </c>
      <c r="C2" s="4" t="s">
        <v>74</v>
      </c>
      <c r="D2" s="4" t="s">
        <v>1</v>
      </c>
      <c r="E2" s="2">
        <v>868</v>
      </c>
      <c r="F2" s="2">
        <v>814</v>
      </c>
      <c r="G2" s="2">
        <v>10</v>
      </c>
      <c r="H2" s="2">
        <v>8</v>
      </c>
      <c r="I2" s="2">
        <v>1</v>
      </c>
      <c r="J2" s="2">
        <v>2</v>
      </c>
      <c r="K2" s="2">
        <v>0</v>
      </c>
      <c r="L2" s="4" t="s">
        <v>166</v>
      </c>
    </row>
    <row r="3" spans="1:12" ht="13.8" x14ac:dyDescent="0.3">
      <c r="A3" s="3">
        <v>45675</v>
      </c>
      <c r="B3" s="4" t="s">
        <v>165</v>
      </c>
      <c r="C3" s="4" t="s">
        <v>74</v>
      </c>
      <c r="D3" s="4" t="s">
        <v>1</v>
      </c>
      <c r="E3" s="2">
        <v>741</v>
      </c>
      <c r="F3" s="2">
        <v>695</v>
      </c>
      <c r="G3" s="2">
        <v>8</v>
      </c>
      <c r="H3" s="2">
        <v>2</v>
      </c>
      <c r="I3" s="2">
        <v>0</v>
      </c>
      <c r="J3" s="2">
        <v>1</v>
      </c>
      <c r="K3" s="2">
        <v>0</v>
      </c>
      <c r="L3" s="4" t="s">
        <v>164</v>
      </c>
    </row>
    <row r="4" spans="1:12" ht="13.8" x14ac:dyDescent="0.3">
      <c r="A4" s="3">
        <v>45674</v>
      </c>
      <c r="B4" s="4" t="s">
        <v>163</v>
      </c>
      <c r="C4" s="4" t="s">
        <v>74</v>
      </c>
      <c r="D4" s="4" t="s">
        <v>1</v>
      </c>
      <c r="E4" s="2">
        <v>1821</v>
      </c>
      <c r="F4" s="2">
        <v>1666</v>
      </c>
      <c r="G4" s="2">
        <v>24</v>
      </c>
      <c r="H4" s="2">
        <v>14</v>
      </c>
      <c r="I4" s="2">
        <v>0</v>
      </c>
      <c r="J4" s="2">
        <v>13</v>
      </c>
      <c r="K4" s="2">
        <v>0</v>
      </c>
      <c r="L4" s="4" t="s">
        <v>162</v>
      </c>
    </row>
    <row r="5" spans="1:12" ht="13.8" x14ac:dyDescent="0.3">
      <c r="A5" s="3">
        <v>45673</v>
      </c>
      <c r="B5" s="4" t="s">
        <v>161</v>
      </c>
      <c r="C5" s="4" t="s">
        <v>74</v>
      </c>
      <c r="D5" s="4" t="s">
        <v>5</v>
      </c>
      <c r="E5" s="2">
        <v>0</v>
      </c>
      <c r="F5" s="2">
        <v>1280</v>
      </c>
      <c r="G5" s="2">
        <v>13</v>
      </c>
      <c r="H5" s="2">
        <v>27</v>
      </c>
      <c r="I5" s="2">
        <v>1</v>
      </c>
      <c r="J5" s="2">
        <v>5</v>
      </c>
      <c r="K5" s="2">
        <v>0</v>
      </c>
      <c r="L5" s="4" t="s">
        <v>160</v>
      </c>
    </row>
    <row r="6" spans="1:12" ht="13.8" x14ac:dyDescent="0.3">
      <c r="A6" s="3">
        <v>45672</v>
      </c>
      <c r="B6" s="4" t="s">
        <v>159</v>
      </c>
      <c r="C6" s="4" t="s">
        <v>74</v>
      </c>
      <c r="D6" s="4" t="s">
        <v>5</v>
      </c>
      <c r="E6" s="2">
        <v>0</v>
      </c>
      <c r="F6" s="2">
        <v>753</v>
      </c>
      <c r="G6" s="2">
        <v>6</v>
      </c>
      <c r="H6" s="2">
        <v>8</v>
      </c>
      <c r="I6" s="2">
        <v>1</v>
      </c>
      <c r="J6" s="2">
        <v>2</v>
      </c>
      <c r="K6" s="2">
        <v>0</v>
      </c>
      <c r="L6" s="4" t="s">
        <v>158</v>
      </c>
    </row>
    <row r="7" spans="1:12" ht="13.8" x14ac:dyDescent="0.3">
      <c r="A7" s="3">
        <v>45671</v>
      </c>
      <c r="B7" s="4" t="s">
        <v>157</v>
      </c>
      <c r="C7" s="4" t="s">
        <v>74</v>
      </c>
      <c r="D7" s="4" t="s">
        <v>1</v>
      </c>
      <c r="E7" s="2">
        <v>2980</v>
      </c>
      <c r="F7" s="2">
        <v>2719</v>
      </c>
      <c r="G7" s="2">
        <v>67</v>
      </c>
      <c r="H7" s="2">
        <v>30</v>
      </c>
      <c r="I7" s="2">
        <v>0</v>
      </c>
      <c r="J7" s="2">
        <v>41</v>
      </c>
      <c r="K7" s="2">
        <v>0</v>
      </c>
      <c r="L7" s="4" t="s">
        <v>156</v>
      </c>
    </row>
    <row r="8" spans="1:12" ht="13.8" x14ac:dyDescent="0.3">
      <c r="A8" s="3">
        <v>45670</v>
      </c>
      <c r="B8" s="4" t="s">
        <v>155</v>
      </c>
      <c r="C8" s="4" t="s">
        <v>140</v>
      </c>
      <c r="D8" s="4" t="s">
        <v>1</v>
      </c>
      <c r="E8" s="2">
        <v>1975</v>
      </c>
      <c r="F8" s="2">
        <v>1768</v>
      </c>
      <c r="G8" s="2">
        <v>30</v>
      </c>
      <c r="H8" s="2">
        <v>26</v>
      </c>
      <c r="I8" s="2">
        <v>0</v>
      </c>
      <c r="J8" s="2">
        <v>25</v>
      </c>
      <c r="K8" s="2">
        <v>0</v>
      </c>
      <c r="L8" s="4" t="s">
        <v>154</v>
      </c>
    </row>
    <row r="9" spans="1:12" ht="13.8" x14ac:dyDescent="0.3">
      <c r="A9" s="3">
        <v>45669</v>
      </c>
      <c r="B9" s="4" t="s">
        <v>153</v>
      </c>
      <c r="C9" s="4" t="s">
        <v>140</v>
      </c>
      <c r="D9" s="4" t="s">
        <v>1</v>
      </c>
      <c r="E9" s="2">
        <v>958</v>
      </c>
      <c r="F9" s="2">
        <v>907</v>
      </c>
      <c r="G9" s="2">
        <v>5</v>
      </c>
      <c r="H9" s="2">
        <v>6</v>
      </c>
      <c r="I9" s="2">
        <v>0</v>
      </c>
      <c r="J9" s="2">
        <v>2</v>
      </c>
      <c r="K9" s="2">
        <v>0</v>
      </c>
      <c r="L9" s="4" t="s">
        <v>152</v>
      </c>
    </row>
    <row r="10" spans="1:12" ht="13.8" x14ac:dyDescent="0.3">
      <c r="A10" s="3">
        <v>45668</v>
      </c>
      <c r="B10" s="4" t="s">
        <v>151</v>
      </c>
      <c r="C10" s="4" t="s">
        <v>140</v>
      </c>
      <c r="D10" s="4" t="s">
        <v>1</v>
      </c>
      <c r="E10" s="2">
        <v>1018</v>
      </c>
      <c r="F10" s="2">
        <v>985</v>
      </c>
      <c r="G10" s="2">
        <v>10</v>
      </c>
      <c r="H10" s="2">
        <v>20</v>
      </c>
      <c r="I10" s="2">
        <v>0</v>
      </c>
      <c r="J10" s="2">
        <v>4</v>
      </c>
      <c r="K10" s="2">
        <v>0</v>
      </c>
      <c r="L10" s="4" t="s">
        <v>150</v>
      </c>
    </row>
    <row r="11" spans="1:12" ht="13.8" x14ac:dyDescent="0.3">
      <c r="A11" s="3">
        <v>45667</v>
      </c>
      <c r="B11" s="4" t="s">
        <v>149</v>
      </c>
      <c r="C11" s="4" t="s">
        <v>74</v>
      </c>
      <c r="D11" s="4" t="s">
        <v>1</v>
      </c>
      <c r="E11" s="2">
        <v>1535</v>
      </c>
      <c r="F11" s="2">
        <v>1382</v>
      </c>
      <c r="G11" s="2">
        <v>20</v>
      </c>
      <c r="H11" s="2">
        <v>19</v>
      </c>
      <c r="I11" s="2">
        <v>0</v>
      </c>
      <c r="J11" s="2">
        <v>4</v>
      </c>
      <c r="K11" s="2">
        <v>0</v>
      </c>
      <c r="L11" s="4" t="s">
        <v>148</v>
      </c>
    </row>
    <row r="12" spans="1:12" ht="13.8" x14ac:dyDescent="0.3">
      <c r="A12" s="3">
        <v>45666</v>
      </c>
      <c r="B12" s="4" t="s">
        <v>147</v>
      </c>
      <c r="C12" s="4" t="s">
        <v>140</v>
      </c>
      <c r="D12" s="4" t="s">
        <v>5</v>
      </c>
      <c r="E12" s="2">
        <v>0</v>
      </c>
      <c r="F12" s="2">
        <v>969</v>
      </c>
      <c r="G12" s="2">
        <v>8</v>
      </c>
      <c r="H12" s="2">
        <v>16</v>
      </c>
      <c r="I12" s="2">
        <v>1</v>
      </c>
      <c r="J12" s="2">
        <v>6</v>
      </c>
      <c r="K12" s="2">
        <v>0</v>
      </c>
      <c r="L12" s="4" t="s">
        <v>146</v>
      </c>
    </row>
    <row r="13" spans="1:12" ht="13.8" x14ac:dyDescent="0.3">
      <c r="A13" s="3">
        <v>45665</v>
      </c>
      <c r="B13" s="4" t="s">
        <v>145</v>
      </c>
      <c r="C13" s="4" t="s">
        <v>140</v>
      </c>
      <c r="D13" s="4" t="s">
        <v>1</v>
      </c>
      <c r="E13" s="2">
        <v>1840</v>
      </c>
      <c r="F13" s="2">
        <v>1698</v>
      </c>
      <c r="G13" s="2">
        <v>15</v>
      </c>
      <c r="H13" s="2">
        <v>25</v>
      </c>
      <c r="I13" s="2">
        <v>0</v>
      </c>
      <c r="J13" s="2">
        <v>10</v>
      </c>
      <c r="K13" s="2">
        <v>0</v>
      </c>
      <c r="L13" s="4" t="s">
        <v>144</v>
      </c>
    </row>
    <row r="14" spans="1:12" ht="13.8" x14ac:dyDescent="0.3">
      <c r="A14" s="3">
        <v>45664</v>
      </c>
      <c r="B14" s="4" t="s">
        <v>143</v>
      </c>
      <c r="C14" s="4" t="s">
        <v>140</v>
      </c>
      <c r="D14" s="4" t="s">
        <v>1</v>
      </c>
      <c r="E14" s="2">
        <v>3728</v>
      </c>
      <c r="F14" s="2">
        <v>3504</v>
      </c>
      <c r="G14" s="2">
        <v>143</v>
      </c>
      <c r="H14" s="2">
        <v>43</v>
      </c>
      <c r="I14" s="2">
        <v>0</v>
      </c>
      <c r="J14" s="2">
        <v>58</v>
      </c>
      <c r="K14" s="2">
        <v>0</v>
      </c>
      <c r="L14" s="4" t="s">
        <v>142</v>
      </c>
    </row>
    <row r="15" spans="1:12" ht="13.8" x14ac:dyDescent="0.3">
      <c r="A15" s="3">
        <v>45663</v>
      </c>
      <c r="B15" s="4" t="s">
        <v>141</v>
      </c>
      <c r="C15" s="4" t="s">
        <v>140</v>
      </c>
      <c r="D15" s="4" t="s">
        <v>5</v>
      </c>
      <c r="E15" s="2">
        <v>0</v>
      </c>
      <c r="F15" s="2">
        <v>2219</v>
      </c>
      <c r="G15" s="2">
        <v>34</v>
      </c>
      <c r="H15" s="2">
        <v>50</v>
      </c>
      <c r="I15" s="2">
        <v>0</v>
      </c>
      <c r="J15" s="2">
        <v>17</v>
      </c>
      <c r="K15" s="2">
        <v>0</v>
      </c>
      <c r="L15" s="4" t="s">
        <v>139</v>
      </c>
    </row>
    <row r="16" spans="1:12" ht="13.8" x14ac:dyDescent="0.3">
      <c r="A16" s="3">
        <v>45662</v>
      </c>
      <c r="B16" s="4" t="s">
        <v>138</v>
      </c>
      <c r="C16" s="4" t="s">
        <v>74</v>
      </c>
      <c r="D16" s="4" t="s">
        <v>5</v>
      </c>
      <c r="E16" s="2">
        <v>0</v>
      </c>
      <c r="F16" s="2">
        <v>5239</v>
      </c>
      <c r="G16" s="2">
        <v>126</v>
      </c>
      <c r="H16" s="2">
        <v>273</v>
      </c>
      <c r="I16" s="2">
        <v>1</v>
      </c>
      <c r="J16" s="2">
        <v>62</v>
      </c>
      <c r="K16" s="2">
        <v>0</v>
      </c>
      <c r="L16" s="4" t="s">
        <v>137</v>
      </c>
    </row>
    <row r="17" spans="1:12" ht="13.8" x14ac:dyDescent="0.3">
      <c r="A17" s="3">
        <v>45648</v>
      </c>
      <c r="B17" s="4" t="s">
        <v>136</v>
      </c>
      <c r="C17" s="4" t="s">
        <v>135</v>
      </c>
      <c r="D17" s="4" t="s">
        <v>5</v>
      </c>
      <c r="E17" s="2">
        <v>0</v>
      </c>
      <c r="F17" s="2">
        <v>8201</v>
      </c>
      <c r="G17" s="2">
        <v>317</v>
      </c>
      <c r="H17" s="2">
        <v>4</v>
      </c>
      <c r="I17" s="2">
        <v>54</v>
      </c>
      <c r="J17" s="2">
        <v>168</v>
      </c>
      <c r="K17" s="2">
        <v>0</v>
      </c>
      <c r="L17" s="4" t="s">
        <v>134</v>
      </c>
    </row>
    <row r="18" spans="1:12" ht="13.8" x14ac:dyDescent="0.3">
      <c r="A18" s="3">
        <v>45639</v>
      </c>
      <c r="B18" s="4" t="s">
        <v>133</v>
      </c>
      <c r="C18" s="4" t="s">
        <v>132</v>
      </c>
      <c r="D18" s="4" t="s">
        <v>5</v>
      </c>
      <c r="E18" s="2">
        <v>0</v>
      </c>
      <c r="F18" s="2">
        <v>1961</v>
      </c>
      <c r="G18" s="2">
        <v>51</v>
      </c>
      <c r="H18" s="2">
        <v>33</v>
      </c>
      <c r="I18" s="2">
        <v>1</v>
      </c>
      <c r="J18" s="2">
        <v>9</v>
      </c>
      <c r="K18" s="2">
        <v>0</v>
      </c>
      <c r="L18" s="4" t="s">
        <v>131</v>
      </c>
    </row>
    <row r="19" spans="1:12" ht="13.8" x14ac:dyDescent="0.3">
      <c r="A19" s="3">
        <v>45631</v>
      </c>
      <c r="B19" s="4" t="s">
        <v>130</v>
      </c>
      <c r="C19" s="4" t="s">
        <v>129</v>
      </c>
      <c r="D19" s="4" t="s">
        <v>5</v>
      </c>
      <c r="E19" s="2">
        <v>0</v>
      </c>
      <c r="F19" s="2">
        <v>3672</v>
      </c>
      <c r="G19" s="2">
        <v>82</v>
      </c>
      <c r="H19" s="2">
        <v>199</v>
      </c>
      <c r="I19" s="2">
        <v>1</v>
      </c>
      <c r="J19" s="2">
        <v>51</v>
      </c>
      <c r="K19" s="2">
        <v>0</v>
      </c>
      <c r="L19" s="4" t="s">
        <v>128</v>
      </c>
    </row>
    <row r="20" spans="1:12" ht="13.8" x14ac:dyDescent="0.3">
      <c r="A20" s="3">
        <v>45629</v>
      </c>
      <c r="B20" s="4" t="s">
        <v>127</v>
      </c>
      <c r="C20" s="4" t="s">
        <v>126</v>
      </c>
      <c r="D20" s="4" t="s">
        <v>5</v>
      </c>
      <c r="E20" s="2">
        <v>0</v>
      </c>
      <c r="F20" s="2">
        <v>2270</v>
      </c>
      <c r="G20" s="2">
        <v>31</v>
      </c>
      <c r="H20" s="2">
        <v>0</v>
      </c>
      <c r="I20" s="2">
        <v>0</v>
      </c>
      <c r="J20" s="2">
        <v>23</v>
      </c>
      <c r="K20" s="2">
        <v>0</v>
      </c>
      <c r="L20" s="4" t="s">
        <v>125</v>
      </c>
    </row>
    <row r="21" spans="1:12" ht="13.8" x14ac:dyDescent="0.3">
      <c r="A21" s="3">
        <v>45626</v>
      </c>
      <c r="B21" s="4" t="s">
        <v>124</v>
      </c>
      <c r="C21" s="4" t="s">
        <v>123</v>
      </c>
      <c r="D21" s="4" t="s">
        <v>5</v>
      </c>
      <c r="E21" s="2">
        <v>0</v>
      </c>
      <c r="F21" s="2">
        <v>3402</v>
      </c>
      <c r="G21" s="2">
        <v>58</v>
      </c>
      <c r="H21" s="2">
        <v>2</v>
      </c>
      <c r="I21" s="2">
        <v>1</v>
      </c>
      <c r="J21" s="2">
        <v>29</v>
      </c>
      <c r="K21" s="2">
        <v>0</v>
      </c>
      <c r="L21" s="4" t="s">
        <v>122</v>
      </c>
    </row>
    <row r="22" spans="1:12" ht="13.8" x14ac:dyDescent="0.3">
      <c r="A22" s="3">
        <v>45624</v>
      </c>
      <c r="B22" s="4" t="s">
        <v>121</v>
      </c>
      <c r="C22" s="4" t="s">
        <v>120</v>
      </c>
      <c r="D22" s="4" t="s">
        <v>5</v>
      </c>
      <c r="E22" s="2">
        <v>0</v>
      </c>
      <c r="F22" s="2">
        <v>2014</v>
      </c>
      <c r="G22" s="2">
        <v>24</v>
      </c>
      <c r="H22" s="2">
        <v>5</v>
      </c>
      <c r="I22" s="2">
        <v>3</v>
      </c>
      <c r="J22" s="2">
        <v>11</v>
      </c>
      <c r="K22" s="2">
        <v>0</v>
      </c>
      <c r="L22" s="4" t="s">
        <v>119</v>
      </c>
    </row>
    <row r="23" spans="1:12" ht="13.8" x14ac:dyDescent="0.3">
      <c r="A23" s="3">
        <v>45617</v>
      </c>
      <c r="B23" s="4" t="s">
        <v>118</v>
      </c>
      <c r="C23" s="4" t="s">
        <v>117</v>
      </c>
      <c r="D23" s="4" t="s">
        <v>5</v>
      </c>
      <c r="E23" s="2">
        <v>0</v>
      </c>
      <c r="F23" s="2">
        <v>5228</v>
      </c>
      <c r="G23" s="2">
        <v>121</v>
      </c>
      <c r="H23" s="2">
        <v>159</v>
      </c>
      <c r="I23" s="2">
        <v>4</v>
      </c>
      <c r="J23" s="2">
        <v>41</v>
      </c>
      <c r="K23" s="2">
        <v>0</v>
      </c>
      <c r="L23" s="4" t="s">
        <v>116</v>
      </c>
    </row>
    <row r="24" spans="1:12" ht="13.8" x14ac:dyDescent="0.3">
      <c r="A24" s="3">
        <v>45617</v>
      </c>
      <c r="B24" s="4" t="s">
        <v>115</v>
      </c>
      <c r="C24" s="4" t="s">
        <v>109</v>
      </c>
      <c r="D24" s="4" t="s">
        <v>5</v>
      </c>
      <c r="E24" s="2">
        <v>0</v>
      </c>
      <c r="F24" s="2">
        <v>900</v>
      </c>
      <c r="G24" s="2">
        <v>15</v>
      </c>
      <c r="H24" s="2">
        <v>32</v>
      </c>
      <c r="I24" s="2">
        <v>1</v>
      </c>
      <c r="J24" s="2">
        <v>9</v>
      </c>
      <c r="K24" s="2">
        <v>0</v>
      </c>
      <c r="L24" s="4" t="s">
        <v>114</v>
      </c>
    </row>
    <row r="25" spans="1:12" ht="13.8" x14ac:dyDescent="0.3">
      <c r="A25" s="3">
        <v>45616</v>
      </c>
      <c r="B25" s="4" t="s">
        <v>113</v>
      </c>
      <c r="C25" s="4" t="s">
        <v>112</v>
      </c>
      <c r="D25" s="4" t="s">
        <v>5</v>
      </c>
      <c r="E25" s="2">
        <v>0</v>
      </c>
      <c r="F25" s="2">
        <v>1175</v>
      </c>
      <c r="G25" s="2">
        <v>27</v>
      </c>
      <c r="H25" s="2">
        <v>12</v>
      </c>
      <c r="I25" s="2">
        <v>0</v>
      </c>
      <c r="J25" s="2">
        <v>12</v>
      </c>
      <c r="K25" s="2">
        <v>0</v>
      </c>
      <c r="L25" s="4" t="s">
        <v>111</v>
      </c>
    </row>
    <row r="26" spans="1:12" ht="13.8" x14ac:dyDescent="0.3">
      <c r="A26" s="3">
        <v>45615</v>
      </c>
      <c r="B26" s="4" t="s">
        <v>110</v>
      </c>
      <c r="C26" s="4" t="s">
        <v>109</v>
      </c>
      <c r="D26" s="4" t="s">
        <v>5</v>
      </c>
      <c r="E26" s="2">
        <v>0</v>
      </c>
      <c r="F26" s="2">
        <v>967</v>
      </c>
      <c r="G26" s="2">
        <v>21</v>
      </c>
      <c r="H26" s="2">
        <v>40</v>
      </c>
      <c r="I26" s="2">
        <v>0</v>
      </c>
      <c r="J26" s="2">
        <v>14</v>
      </c>
      <c r="K26" s="2">
        <v>0</v>
      </c>
      <c r="L26" s="4" t="s">
        <v>108</v>
      </c>
    </row>
    <row r="27" spans="1:12" ht="13.8" x14ac:dyDescent="0.3">
      <c r="A27" s="3">
        <v>45615</v>
      </c>
      <c r="B27" s="4" t="s">
        <v>107</v>
      </c>
      <c r="C27" s="4" t="s">
        <v>106</v>
      </c>
      <c r="D27" s="4" t="s">
        <v>5</v>
      </c>
      <c r="E27" s="2">
        <v>0</v>
      </c>
      <c r="F27" s="2">
        <v>3019</v>
      </c>
      <c r="G27" s="2">
        <v>49</v>
      </c>
      <c r="H27" s="2">
        <v>114</v>
      </c>
      <c r="I27" s="2">
        <v>1</v>
      </c>
      <c r="J27" s="2">
        <v>26</v>
      </c>
      <c r="K27" s="2">
        <v>0</v>
      </c>
      <c r="L27" s="4" t="s">
        <v>105</v>
      </c>
    </row>
    <row r="28" spans="1:12" ht="13.8" x14ac:dyDescent="0.3">
      <c r="A28" s="3">
        <v>45614</v>
      </c>
      <c r="B28" s="4" t="s">
        <v>104</v>
      </c>
      <c r="C28" s="4" t="s">
        <v>103</v>
      </c>
      <c r="D28" s="4" t="s">
        <v>1</v>
      </c>
      <c r="E28" s="2">
        <v>2799</v>
      </c>
      <c r="F28" s="2">
        <v>2552</v>
      </c>
      <c r="G28" s="2">
        <v>162</v>
      </c>
      <c r="H28" s="2">
        <v>18</v>
      </c>
      <c r="I28" s="2">
        <v>0</v>
      </c>
      <c r="J28" s="2">
        <v>56</v>
      </c>
      <c r="K28" s="2">
        <v>0</v>
      </c>
      <c r="L28" s="4" t="s">
        <v>102</v>
      </c>
    </row>
    <row r="29" spans="1:12" ht="13.8" x14ac:dyDescent="0.3">
      <c r="A29" s="3">
        <v>45613</v>
      </c>
      <c r="B29" s="4" t="s">
        <v>101</v>
      </c>
      <c r="C29" s="4" t="s">
        <v>100</v>
      </c>
      <c r="D29" s="4" t="s">
        <v>1</v>
      </c>
      <c r="E29" s="2">
        <v>1692</v>
      </c>
      <c r="F29" s="2">
        <v>1543</v>
      </c>
      <c r="G29" s="2">
        <v>29</v>
      </c>
      <c r="H29" s="2">
        <v>24</v>
      </c>
      <c r="I29" s="2">
        <v>0</v>
      </c>
      <c r="J29" s="2">
        <v>25</v>
      </c>
      <c r="K29" s="2">
        <v>0</v>
      </c>
      <c r="L29" s="4" t="s">
        <v>99</v>
      </c>
    </row>
    <row r="30" spans="1:12" ht="13.8" x14ac:dyDescent="0.3">
      <c r="A30" s="3">
        <v>45612</v>
      </c>
      <c r="B30" s="4" t="s">
        <v>98</v>
      </c>
      <c r="C30" s="4" t="s">
        <v>97</v>
      </c>
      <c r="D30" s="4" t="s">
        <v>1</v>
      </c>
      <c r="E30" s="2">
        <v>9096</v>
      </c>
      <c r="F30" s="2">
        <v>8063</v>
      </c>
      <c r="G30" s="2">
        <v>430</v>
      </c>
      <c r="H30" s="2">
        <v>40</v>
      </c>
      <c r="I30" s="2">
        <v>0</v>
      </c>
      <c r="J30" s="2">
        <v>197</v>
      </c>
      <c r="K30" s="2">
        <v>0</v>
      </c>
      <c r="L30" s="4" t="s">
        <v>96</v>
      </c>
    </row>
    <row r="31" spans="1:12" ht="13.8" x14ac:dyDescent="0.3">
      <c r="A31" s="3">
        <v>45611</v>
      </c>
      <c r="B31" s="4" t="s">
        <v>95</v>
      </c>
      <c r="C31" s="4" t="s">
        <v>94</v>
      </c>
      <c r="D31" s="4" t="s">
        <v>1</v>
      </c>
      <c r="E31" s="2">
        <v>1475</v>
      </c>
      <c r="F31" s="2">
        <v>1404</v>
      </c>
      <c r="G31" s="2">
        <v>20</v>
      </c>
      <c r="H31" s="2">
        <v>34</v>
      </c>
      <c r="I31" s="2">
        <v>0</v>
      </c>
      <c r="J31" s="2">
        <v>6</v>
      </c>
      <c r="K31" s="2">
        <v>0</v>
      </c>
      <c r="L31" s="4" t="s">
        <v>93</v>
      </c>
    </row>
    <row r="32" spans="1:12" ht="13.8" x14ac:dyDescent="0.3">
      <c r="A32" s="3">
        <v>45610</v>
      </c>
      <c r="B32" s="4" t="s">
        <v>92</v>
      </c>
      <c r="C32" s="4" t="s">
        <v>91</v>
      </c>
      <c r="D32" s="4" t="s">
        <v>1</v>
      </c>
      <c r="E32" s="2">
        <v>2635</v>
      </c>
      <c r="F32" s="2">
        <v>2454</v>
      </c>
      <c r="G32" s="2">
        <v>58</v>
      </c>
      <c r="H32" s="2">
        <v>19</v>
      </c>
      <c r="I32" s="2">
        <v>0</v>
      </c>
      <c r="J32" s="2">
        <v>55</v>
      </c>
      <c r="K32" s="2">
        <v>0</v>
      </c>
      <c r="L32" s="4" t="s">
        <v>90</v>
      </c>
    </row>
    <row r="33" spans="1:12" ht="13.8" x14ac:dyDescent="0.3">
      <c r="A33" s="3">
        <v>45609</v>
      </c>
      <c r="B33" s="4" t="s">
        <v>89</v>
      </c>
      <c r="C33" s="4" t="s">
        <v>88</v>
      </c>
      <c r="D33" s="4" t="s">
        <v>1</v>
      </c>
      <c r="E33" s="2">
        <v>2517</v>
      </c>
      <c r="F33" s="2">
        <v>2332</v>
      </c>
      <c r="G33" s="2">
        <v>94</v>
      </c>
      <c r="H33" s="2">
        <v>66</v>
      </c>
      <c r="I33" s="2">
        <v>0</v>
      </c>
      <c r="J33" s="2">
        <v>34</v>
      </c>
      <c r="K33" s="2">
        <v>0</v>
      </c>
      <c r="L33" s="4" t="s">
        <v>87</v>
      </c>
    </row>
    <row r="34" spans="1:12" ht="13.8" x14ac:dyDescent="0.3">
      <c r="A34" s="3">
        <v>45608</v>
      </c>
      <c r="B34" s="4" t="s">
        <v>86</v>
      </c>
      <c r="C34" s="4" t="s">
        <v>85</v>
      </c>
      <c r="D34" s="4" t="s">
        <v>1</v>
      </c>
      <c r="E34" s="2">
        <v>5276</v>
      </c>
      <c r="F34" s="2">
        <v>4684</v>
      </c>
      <c r="G34" s="2">
        <v>262</v>
      </c>
      <c r="H34" s="2">
        <v>114</v>
      </c>
      <c r="I34" s="2">
        <v>0</v>
      </c>
      <c r="J34" s="2">
        <v>106</v>
      </c>
      <c r="K34" s="2">
        <v>0</v>
      </c>
      <c r="L34" s="4" t="s">
        <v>84</v>
      </c>
    </row>
    <row r="35" spans="1:12" ht="13.8" x14ac:dyDescent="0.3">
      <c r="A35" s="3">
        <v>45607</v>
      </c>
      <c r="B35" s="4" t="s">
        <v>83</v>
      </c>
      <c r="C35" s="4" t="s">
        <v>82</v>
      </c>
      <c r="D35" s="4" t="s">
        <v>5</v>
      </c>
      <c r="E35" s="2">
        <v>0</v>
      </c>
      <c r="F35" s="2">
        <v>3131</v>
      </c>
      <c r="G35" s="2">
        <v>93</v>
      </c>
      <c r="H35" s="2">
        <v>20</v>
      </c>
      <c r="I35" s="2">
        <v>1</v>
      </c>
      <c r="J35" s="2">
        <v>50</v>
      </c>
      <c r="K35" s="2">
        <v>0</v>
      </c>
      <c r="L35" s="4" t="s">
        <v>81</v>
      </c>
    </row>
    <row r="36" spans="1:12" ht="13.8" x14ac:dyDescent="0.3">
      <c r="A36" s="3">
        <v>45606</v>
      </c>
      <c r="B36" s="4" t="s">
        <v>80</v>
      </c>
      <c r="C36" s="4" t="s">
        <v>68</v>
      </c>
      <c r="D36" s="4" t="s">
        <v>1</v>
      </c>
      <c r="E36" s="2">
        <v>3068</v>
      </c>
      <c r="F36" s="2">
        <v>2827</v>
      </c>
      <c r="G36" s="2">
        <v>46</v>
      </c>
      <c r="H36" s="2">
        <v>98</v>
      </c>
      <c r="I36" s="2">
        <v>0</v>
      </c>
      <c r="J36" s="2">
        <v>40</v>
      </c>
      <c r="K36" s="2">
        <v>0</v>
      </c>
      <c r="L36" s="4" t="s">
        <v>79</v>
      </c>
    </row>
    <row r="37" spans="1:12" ht="13.8" x14ac:dyDescent="0.3">
      <c r="A37" s="3">
        <v>45605</v>
      </c>
      <c r="B37" s="4" t="s">
        <v>78</v>
      </c>
      <c r="C37" s="4" t="s">
        <v>77</v>
      </c>
      <c r="D37" s="4" t="s">
        <v>5</v>
      </c>
      <c r="E37" s="2">
        <v>0</v>
      </c>
      <c r="F37" s="2">
        <v>2681</v>
      </c>
      <c r="G37" s="2">
        <v>104</v>
      </c>
      <c r="H37" s="2">
        <v>38</v>
      </c>
      <c r="I37" s="2">
        <v>1</v>
      </c>
      <c r="J37" s="2">
        <v>55</v>
      </c>
      <c r="K37" s="2">
        <v>0</v>
      </c>
      <c r="L37" s="4" t="s">
        <v>76</v>
      </c>
    </row>
    <row r="38" spans="1:12" ht="13.8" x14ac:dyDescent="0.3">
      <c r="A38" s="3">
        <v>45600</v>
      </c>
      <c r="B38" s="4" t="s">
        <v>75</v>
      </c>
      <c r="C38" s="4" t="s">
        <v>74</v>
      </c>
      <c r="D38" s="4" t="s">
        <v>5</v>
      </c>
      <c r="E38" s="2">
        <v>0</v>
      </c>
      <c r="F38" s="2">
        <v>1837</v>
      </c>
      <c r="G38" s="2">
        <v>40</v>
      </c>
      <c r="H38" s="2">
        <v>56</v>
      </c>
      <c r="I38" s="2">
        <v>2</v>
      </c>
      <c r="J38" s="2">
        <v>97</v>
      </c>
      <c r="K38" s="2">
        <v>0</v>
      </c>
      <c r="L38" s="4" t="s">
        <v>73</v>
      </c>
    </row>
    <row r="39" spans="1:12" ht="13.8" x14ac:dyDescent="0.3">
      <c r="A39" s="3">
        <v>45598</v>
      </c>
      <c r="B39" s="4" t="s">
        <v>72</v>
      </c>
      <c r="C39" s="4" t="s">
        <v>71</v>
      </c>
      <c r="D39" s="4" t="s">
        <v>5</v>
      </c>
      <c r="E39" s="2">
        <v>0</v>
      </c>
      <c r="F39" s="2">
        <v>2811</v>
      </c>
      <c r="G39" s="2">
        <v>78</v>
      </c>
      <c r="H39" s="2">
        <v>93</v>
      </c>
      <c r="I39" s="2">
        <v>4</v>
      </c>
      <c r="J39" s="2">
        <v>125</v>
      </c>
      <c r="K39" s="2">
        <v>0</v>
      </c>
      <c r="L39" s="4" t="s">
        <v>70</v>
      </c>
    </row>
    <row r="40" spans="1:12" ht="13.8" x14ac:dyDescent="0.3">
      <c r="A40" s="3">
        <v>45587</v>
      </c>
      <c r="B40" s="4" t="s">
        <v>69</v>
      </c>
      <c r="C40" s="4" t="s">
        <v>68</v>
      </c>
      <c r="D40" s="4" t="s">
        <v>1</v>
      </c>
      <c r="E40" s="2">
        <v>3895</v>
      </c>
      <c r="F40" s="2">
        <v>3827</v>
      </c>
      <c r="G40" s="2">
        <v>76</v>
      </c>
      <c r="H40" s="2">
        <v>177</v>
      </c>
      <c r="I40" s="2">
        <v>0</v>
      </c>
      <c r="J40" s="2">
        <v>64</v>
      </c>
      <c r="K40" s="2">
        <v>0</v>
      </c>
      <c r="L40" s="4" t="s">
        <v>67</v>
      </c>
    </row>
    <row r="41" spans="1:12" ht="13.8" x14ac:dyDescent="0.3">
      <c r="A41" s="3">
        <v>45545</v>
      </c>
      <c r="B41" s="4" t="s">
        <v>66</v>
      </c>
      <c r="C41" s="4" t="s">
        <v>65</v>
      </c>
      <c r="D41" s="4" t="s">
        <v>1</v>
      </c>
      <c r="E41" s="2">
        <v>4797</v>
      </c>
      <c r="F41" s="2">
        <v>4307</v>
      </c>
      <c r="G41" s="2">
        <v>229</v>
      </c>
      <c r="H41" s="2">
        <v>43</v>
      </c>
      <c r="I41" s="2">
        <v>0</v>
      </c>
      <c r="J41" s="2">
        <v>66</v>
      </c>
      <c r="K41" s="2">
        <v>0</v>
      </c>
      <c r="L41" s="4" t="s">
        <v>64</v>
      </c>
    </row>
    <row r="42" spans="1:12" ht="13.8" x14ac:dyDescent="0.3">
      <c r="A42" s="3">
        <v>45544</v>
      </c>
      <c r="B42" s="4" t="s">
        <v>63</v>
      </c>
      <c r="C42" s="4" t="s">
        <v>62</v>
      </c>
      <c r="D42" s="4" t="s">
        <v>1</v>
      </c>
      <c r="E42" s="2">
        <v>2250</v>
      </c>
      <c r="F42" s="2">
        <v>2085</v>
      </c>
      <c r="G42" s="2">
        <v>41</v>
      </c>
      <c r="H42" s="2">
        <v>54</v>
      </c>
      <c r="I42" s="2">
        <v>0</v>
      </c>
      <c r="J42" s="2">
        <v>20</v>
      </c>
      <c r="K42" s="2">
        <v>0</v>
      </c>
      <c r="L42" s="4" t="s">
        <v>61</v>
      </c>
    </row>
    <row r="43" spans="1:12" ht="13.8" x14ac:dyDescent="0.3">
      <c r="A43" s="3">
        <v>45543</v>
      </c>
      <c r="B43" s="4" t="s">
        <v>60</v>
      </c>
      <c r="C43" s="4" t="s">
        <v>59</v>
      </c>
      <c r="D43" s="4" t="s">
        <v>1</v>
      </c>
      <c r="E43" s="2">
        <v>2888</v>
      </c>
      <c r="F43" s="2">
        <v>2663</v>
      </c>
      <c r="G43" s="2">
        <v>33</v>
      </c>
      <c r="H43" s="2">
        <v>80</v>
      </c>
      <c r="I43" s="2">
        <v>0</v>
      </c>
      <c r="J43" s="2">
        <v>32</v>
      </c>
      <c r="K43" s="2">
        <v>0</v>
      </c>
      <c r="L43" s="4" t="s">
        <v>58</v>
      </c>
    </row>
    <row r="44" spans="1:12" ht="13.8" x14ac:dyDescent="0.3">
      <c r="A44" s="3">
        <v>45542</v>
      </c>
      <c r="B44" s="4" t="s">
        <v>57</v>
      </c>
      <c r="C44" s="4" t="s">
        <v>56</v>
      </c>
      <c r="D44" s="4" t="s">
        <v>1</v>
      </c>
      <c r="E44" s="2">
        <v>2937</v>
      </c>
      <c r="F44" s="2">
        <v>2811</v>
      </c>
      <c r="G44" s="2">
        <v>41</v>
      </c>
      <c r="H44" s="2">
        <v>31</v>
      </c>
      <c r="I44" s="2">
        <v>0</v>
      </c>
      <c r="J44" s="2">
        <v>29</v>
      </c>
      <c r="K44" s="2">
        <v>0</v>
      </c>
      <c r="L44" s="4" t="s">
        <v>55</v>
      </c>
    </row>
    <row r="45" spans="1:12" ht="13.8" x14ac:dyDescent="0.3">
      <c r="A45" s="3">
        <v>45541</v>
      </c>
      <c r="B45" s="4" t="s">
        <v>54</v>
      </c>
      <c r="C45" s="4" t="s">
        <v>53</v>
      </c>
      <c r="D45" s="4" t="s">
        <v>1</v>
      </c>
      <c r="E45" s="2">
        <v>2006</v>
      </c>
      <c r="F45" s="2">
        <v>1933</v>
      </c>
      <c r="G45" s="2">
        <v>78</v>
      </c>
      <c r="H45" s="2">
        <v>15</v>
      </c>
      <c r="I45" s="2">
        <v>0</v>
      </c>
      <c r="J45" s="2">
        <v>27</v>
      </c>
      <c r="K45" s="2">
        <v>0</v>
      </c>
      <c r="L45" s="4" t="s">
        <v>52</v>
      </c>
    </row>
    <row r="46" spans="1:12" ht="13.8" x14ac:dyDescent="0.3">
      <c r="A46" s="3">
        <v>45540</v>
      </c>
      <c r="B46" s="4" t="s">
        <v>51</v>
      </c>
      <c r="C46" s="4" t="s">
        <v>50</v>
      </c>
      <c r="D46" s="4" t="s">
        <v>1</v>
      </c>
      <c r="E46" s="2">
        <v>3285</v>
      </c>
      <c r="F46" s="2">
        <v>3126</v>
      </c>
      <c r="G46" s="2">
        <v>114</v>
      </c>
      <c r="H46" s="2">
        <v>50</v>
      </c>
      <c r="I46" s="2">
        <v>0</v>
      </c>
      <c r="J46" s="2">
        <v>72</v>
      </c>
      <c r="K46" s="2">
        <v>0</v>
      </c>
      <c r="L46" s="4" t="s">
        <v>49</v>
      </c>
    </row>
    <row r="47" spans="1:12" ht="13.8" x14ac:dyDescent="0.3">
      <c r="A47" s="3">
        <v>45539</v>
      </c>
      <c r="B47" s="4" t="s">
        <v>48</v>
      </c>
      <c r="C47" s="4" t="s">
        <v>47</v>
      </c>
      <c r="D47" s="4" t="s">
        <v>1</v>
      </c>
      <c r="E47" s="2">
        <v>2885</v>
      </c>
      <c r="F47" s="2">
        <v>2685</v>
      </c>
      <c r="G47" s="2">
        <v>29</v>
      </c>
      <c r="H47" s="2">
        <v>26</v>
      </c>
      <c r="I47" s="2">
        <v>0</v>
      </c>
      <c r="J47" s="2">
        <v>9</v>
      </c>
      <c r="K47" s="2">
        <v>0</v>
      </c>
      <c r="L47" s="4" t="s">
        <v>46</v>
      </c>
    </row>
    <row r="48" spans="1:12" ht="13.8" x14ac:dyDescent="0.3">
      <c r="A48" s="3">
        <v>45538</v>
      </c>
      <c r="B48" s="4" t="s">
        <v>45</v>
      </c>
      <c r="C48" s="4" t="s">
        <v>44</v>
      </c>
      <c r="D48" s="4" t="s">
        <v>1</v>
      </c>
      <c r="E48" s="2">
        <v>1823</v>
      </c>
      <c r="F48" s="2">
        <v>1746</v>
      </c>
      <c r="G48" s="2">
        <v>17</v>
      </c>
      <c r="H48" s="2">
        <v>48</v>
      </c>
      <c r="I48" s="2">
        <v>0</v>
      </c>
      <c r="J48" s="2">
        <v>9</v>
      </c>
      <c r="K48" s="2">
        <v>0</v>
      </c>
      <c r="L48" s="4" t="s">
        <v>43</v>
      </c>
    </row>
    <row r="49" spans="1:12" ht="13.8" x14ac:dyDescent="0.3">
      <c r="A49" s="3">
        <v>45537</v>
      </c>
      <c r="B49" s="4" t="s">
        <v>42</v>
      </c>
      <c r="C49" s="4" t="s">
        <v>41</v>
      </c>
      <c r="D49" s="4" t="s">
        <v>1</v>
      </c>
      <c r="E49" s="2">
        <v>2564</v>
      </c>
      <c r="F49" s="2">
        <v>2398</v>
      </c>
      <c r="G49" s="2">
        <v>56</v>
      </c>
      <c r="H49" s="2">
        <v>49</v>
      </c>
      <c r="I49" s="2">
        <v>0</v>
      </c>
      <c r="J49" s="2">
        <v>17</v>
      </c>
      <c r="K49" s="2">
        <v>0</v>
      </c>
      <c r="L49" s="4" t="s">
        <v>40</v>
      </c>
    </row>
    <row r="50" spans="1:12" ht="13.8" x14ac:dyDescent="0.3">
      <c r="A50" s="3">
        <v>45536</v>
      </c>
      <c r="B50" s="4" t="s">
        <v>39</v>
      </c>
      <c r="C50" s="4" t="s">
        <v>38</v>
      </c>
      <c r="D50" s="4" t="s">
        <v>5</v>
      </c>
      <c r="E50" s="2">
        <v>0</v>
      </c>
      <c r="F50" s="2">
        <v>4946</v>
      </c>
      <c r="G50" s="2">
        <v>152</v>
      </c>
      <c r="H50" s="2">
        <v>70</v>
      </c>
      <c r="I50" s="2">
        <v>0</v>
      </c>
      <c r="J50" s="2">
        <v>76</v>
      </c>
      <c r="K50" s="2">
        <v>0</v>
      </c>
      <c r="L50" s="4" t="s">
        <v>37</v>
      </c>
    </row>
    <row r="51" spans="1:12" ht="13.8" x14ac:dyDescent="0.3">
      <c r="A51" s="3">
        <v>45535</v>
      </c>
      <c r="B51" s="4" t="s">
        <v>36</v>
      </c>
      <c r="C51" s="4" t="s">
        <v>35</v>
      </c>
      <c r="D51" s="4" t="s">
        <v>1</v>
      </c>
      <c r="E51" s="2">
        <v>8291</v>
      </c>
      <c r="F51" s="2">
        <v>8200</v>
      </c>
      <c r="G51" s="2">
        <v>254</v>
      </c>
      <c r="H51" s="2">
        <v>31</v>
      </c>
      <c r="I51" s="2">
        <v>0</v>
      </c>
      <c r="J51" s="2">
        <v>149</v>
      </c>
      <c r="K51" s="2">
        <v>0</v>
      </c>
      <c r="L51" s="4" t="s">
        <v>34</v>
      </c>
    </row>
    <row r="52" spans="1:12" ht="13.8" x14ac:dyDescent="0.3">
      <c r="A52" s="3">
        <v>45534</v>
      </c>
      <c r="B52" s="4" t="s">
        <v>33</v>
      </c>
      <c r="C52" s="4" t="s">
        <v>32</v>
      </c>
      <c r="D52" s="4" t="s">
        <v>1</v>
      </c>
      <c r="E52" s="2">
        <v>2915</v>
      </c>
      <c r="F52" s="2">
        <v>2753</v>
      </c>
      <c r="G52" s="2">
        <v>97</v>
      </c>
      <c r="H52" s="2">
        <v>48</v>
      </c>
      <c r="I52" s="2">
        <v>0</v>
      </c>
      <c r="J52" s="2">
        <v>50</v>
      </c>
      <c r="K52" s="2">
        <v>0</v>
      </c>
      <c r="L52" s="4" t="s">
        <v>31</v>
      </c>
    </row>
    <row r="53" spans="1:12" ht="13.8" x14ac:dyDescent="0.3">
      <c r="A53" s="3">
        <v>45520</v>
      </c>
      <c r="B53" s="4" t="s">
        <v>30</v>
      </c>
      <c r="C53" s="4" t="s">
        <v>29</v>
      </c>
      <c r="D53" s="4" t="s">
        <v>1</v>
      </c>
      <c r="E53" s="2">
        <v>2431</v>
      </c>
      <c r="F53" s="2">
        <v>2237</v>
      </c>
      <c r="G53" s="2">
        <v>85</v>
      </c>
      <c r="H53" s="2">
        <v>1</v>
      </c>
      <c r="I53" s="2">
        <v>0</v>
      </c>
      <c r="J53" s="2">
        <v>41</v>
      </c>
      <c r="K53" s="2">
        <v>0</v>
      </c>
      <c r="L53" s="4" t="s">
        <v>28</v>
      </c>
    </row>
    <row r="54" spans="1:12" ht="13.8" x14ac:dyDescent="0.3">
      <c r="A54" s="3">
        <v>45519</v>
      </c>
      <c r="B54" s="4" t="s">
        <v>27</v>
      </c>
      <c r="C54" s="4" t="s">
        <v>26</v>
      </c>
      <c r="D54" s="4" t="s">
        <v>1</v>
      </c>
      <c r="E54" s="2">
        <v>1118</v>
      </c>
      <c r="F54" s="2">
        <v>1079</v>
      </c>
      <c r="G54" s="2">
        <v>16</v>
      </c>
      <c r="H54" s="2">
        <v>58</v>
      </c>
      <c r="I54" s="2">
        <v>0</v>
      </c>
      <c r="J54" s="2">
        <v>4</v>
      </c>
      <c r="K54" s="2">
        <v>0</v>
      </c>
      <c r="L54" s="4" t="s">
        <v>25</v>
      </c>
    </row>
    <row r="55" spans="1:12" ht="13.8" x14ac:dyDescent="0.3">
      <c r="A55" s="3">
        <v>45517</v>
      </c>
      <c r="B55" s="4" t="s">
        <v>24</v>
      </c>
      <c r="C55" s="4" t="s">
        <v>23</v>
      </c>
      <c r="D55" s="4" t="s">
        <v>5</v>
      </c>
      <c r="E55" s="2">
        <v>0</v>
      </c>
      <c r="F55" s="2">
        <v>1314</v>
      </c>
      <c r="G55" s="2">
        <v>39</v>
      </c>
      <c r="H55" s="2">
        <v>0</v>
      </c>
      <c r="I55" s="2">
        <v>1</v>
      </c>
      <c r="J55" s="2">
        <v>6</v>
      </c>
      <c r="K55" s="2">
        <v>0</v>
      </c>
      <c r="L55" s="4" t="s">
        <v>22</v>
      </c>
    </row>
    <row r="56" spans="1:12" ht="13.8" x14ac:dyDescent="0.3">
      <c r="A56" s="3">
        <v>45516</v>
      </c>
      <c r="B56" s="4" t="s">
        <v>21</v>
      </c>
      <c r="C56" s="4" t="s">
        <v>20</v>
      </c>
      <c r="D56" s="4" t="s">
        <v>1</v>
      </c>
      <c r="E56" s="2">
        <v>1286</v>
      </c>
      <c r="F56" s="2">
        <v>1284</v>
      </c>
      <c r="G56" s="2">
        <v>46</v>
      </c>
      <c r="H56" s="2">
        <v>1</v>
      </c>
      <c r="I56" s="2">
        <v>1</v>
      </c>
      <c r="J56" s="2">
        <v>17</v>
      </c>
      <c r="K56" s="2">
        <v>0</v>
      </c>
      <c r="L56" s="4" t="s">
        <v>19</v>
      </c>
    </row>
    <row r="57" spans="1:12" ht="13.8" x14ac:dyDescent="0.3">
      <c r="A57" s="3">
        <v>45515</v>
      </c>
      <c r="B57" s="4" t="s">
        <v>18</v>
      </c>
      <c r="C57" s="4" t="s">
        <v>17</v>
      </c>
      <c r="D57" s="4" t="s">
        <v>1</v>
      </c>
      <c r="E57" s="2">
        <v>1709</v>
      </c>
      <c r="F57" s="2">
        <v>1675</v>
      </c>
      <c r="G57" s="2">
        <v>52</v>
      </c>
      <c r="H57" s="2">
        <v>0</v>
      </c>
      <c r="I57" s="2">
        <v>1</v>
      </c>
      <c r="J57" s="2">
        <v>8</v>
      </c>
      <c r="K57" s="2">
        <v>0</v>
      </c>
      <c r="L57" s="4" t="s">
        <v>16</v>
      </c>
    </row>
    <row r="58" spans="1:12" ht="13.8" x14ac:dyDescent="0.3">
      <c r="A58" s="3">
        <v>45513</v>
      </c>
      <c r="B58" s="4" t="s">
        <v>15</v>
      </c>
      <c r="C58" s="4" t="s">
        <v>14</v>
      </c>
      <c r="D58" s="4" t="s">
        <v>1</v>
      </c>
      <c r="E58" s="2">
        <v>2040</v>
      </c>
      <c r="F58" s="2">
        <v>1910</v>
      </c>
      <c r="G58" s="2">
        <v>32</v>
      </c>
      <c r="H58" s="2">
        <v>104</v>
      </c>
      <c r="I58" s="2">
        <v>0</v>
      </c>
      <c r="J58" s="2">
        <v>13</v>
      </c>
      <c r="K58" s="2">
        <v>0</v>
      </c>
      <c r="L58" s="4" t="s">
        <v>13</v>
      </c>
    </row>
    <row r="59" spans="1:12" ht="13.8" x14ac:dyDescent="0.3">
      <c r="A59" s="3">
        <v>45512</v>
      </c>
      <c r="B59" s="4" t="s">
        <v>12</v>
      </c>
      <c r="C59" s="4" t="s">
        <v>11</v>
      </c>
      <c r="D59" s="4" t="s">
        <v>1</v>
      </c>
      <c r="E59" s="2">
        <v>2989</v>
      </c>
      <c r="F59" s="2">
        <v>2831</v>
      </c>
      <c r="G59" s="2">
        <v>157</v>
      </c>
      <c r="H59" s="2">
        <v>2</v>
      </c>
      <c r="I59" s="2">
        <v>0</v>
      </c>
      <c r="J59" s="2">
        <v>78</v>
      </c>
      <c r="K59" s="2">
        <v>0</v>
      </c>
      <c r="L59" s="4" t="s">
        <v>10</v>
      </c>
    </row>
    <row r="60" spans="1:12" ht="13.8" x14ac:dyDescent="0.3">
      <c r="A60" s="3">
        <v>45510</v>
      </c>
      <c r="B60" s="4" t="s">
        <v>9</v>
      </c>
      <c r="C60" s="4" t="s">
        <v>8</v>
      </c>
      <c r="D60" s="4" t="s">
        <v>1</v>
      </c>
      <c r="E60" s="2">
        <v>1185</v>
      </c>
      <c r="F60" s="2">
        <v>1180</v>
      </c>
      <c r="G60" s="2">
        <v>49</v>
      </c>
      <c r="H60" s="2">
        <v>0</v>
      </c>
      <c r="I60" s="2">
        <v>0</v>
      </c>
      <c r="J60" s="2">
        <v>4</v>
      </c>
      <c r="K60" s="2">
        <v>0</v>
      </c>
      <c r="L60" s="4" t="s">
        <v>7</v>
      </c>
    </row>
    <row r="61" spans="1:12" ht="13.8" x14ac:dyDescent="0.3">
      <c r="A61" s="3">
        <v>45509</v>
      </c>
      <c r="B61" s="4">
        <v>1.79052457409285E+16</v>
      </c>
      <c r="C61" s="4" t="s">
        <v>6</v>
      </c>
      <c r="D61" s="4" t="s">
        <v>5</v>
      </c>
      <c r="E61" s="2">
        <v>0</v>
      </c>
      <c r="F61" s="2">
        <v>3504</v>
      </c>
      <c r="G61" s="2">
        <v>116</v>
      </c>
      <c r="H61" s="2">
        <v>35</v>
      </c>
      <c r="I61" s="2">
        <v>2</v>
      </c>
      <c r="J61" s="2">
        <v>65</v>
      </c>
      <c r="K61" s="2">
        <v>0</v>
      </c>
      <c r="L61" s="4" t="s">
        <v>4</v>
      </c>
    </row>
    <row r="62" spans="1:12" ht="13.8" x14ac:dyDescent="0.3">
      <c r="A62" s="3">
        <v>45508</v>
      </c>
      <c r="B62" s="4" t="s">
        <v>3</v>
      </c>
      <c r="C62" s="4" t="s">
        <v>2</v>
      </c>
      <c r="D62" s="4" t="s">
        <v>1</v>
      </c>
      <c r="E62" s="2">
        <v>776</v>
      </c>
      <c r="F62" s="2">
        <v>733</v>
      </c>
      <c r="G62" s="2">
        <v>12</v>
      </c>
      <c r="H62" s="2">
        <v>0</v>
      </c>
      <c r="I62" s="2">
        <v>0</v>
      </c>
      <c r="J62" s="2">
        <v>3</v>
      </c>
      <c r="K62" s="2">
        <v>0</v>
      </c>
      <c r="L62" s="4" t="s">
        <v>0</v>
      </c>
    </row>
    <row r="63" spans="1:12" ht="13.8" x14ac:dyDescent="0.3">
      <c r="A63" s="3"/>
      <c r="E63" s="2"/>
      <c r="F63" s="2"/>
      <c r="G63" s="2"/>
      <c r="H63" s="2"/>
      <c r="I63" s="2"/>
      <c r="J63" s="2"/>
      <c r="K63" s="2"/>
    </row>
    <row r="64" spans="1:12" ht="13.8" x14ac:dyDescent="0.3">
      <c r="A64" s="3"/>
      <c r="E64" s="2"/>
      <c r="F64" s="2"/>
      <c r="G64" s="2"/>
      <c r="H64" s="2"/>
      <c r="I64" s="2"/>
      <c r="J64" s="2"/>
      <c r="K64" s="2"/>
    </row>
    <row r="65" spans="1:11" ht="13.8" x14ac:dyDescent="0.3">
      <c r="A65" s="3"/>
      <c r="E65" s="2"/>
      <c r="F65" s="2"/>
      <c r="G65" s="2"/>
      <c r="H65" s="2"/>
      <c r="I65" s="2"/>
      <c r="J65" s="2"/>
      <c r="K65" s="2"/>
    </row>
    <row r="66" spans="1:11" ht="13.8" x14ac:dyDescent="0.3">
      <c r="A66" s="3"/>
      <c r="E66" s="2"/>
      <c r="F66" s="2"/>
      <c r="G66" s="2"/>
      <c r="H66" s="2"/>
      <c r="I66" s="2"/>
      <c r="J66" s="2"/>
      <c r="K66" s="2"/>
    </row>
    <row r="67" spans="1:11" ht="13.8" x14ac:dyDescent="0.3">
      <c r="A67" s="3"/>
      <c r="E67" s="2"/>
      <c r="F67" s="2"/>
      <c r="G67" s="2"/>
      <c r="H67" s="2"/>
      <c r="I67" s="2"/>
      <c r="J67" s="2"/>
      <c r="K67" s="2"/>
    </row>
    <row r="68" spans="1:11" ht="13.8" x14ac:dyDescent="0.3">
      <c r="A68" s="3"/>
      <c r="E68" s="2"/>
      <c r="F68" s="2"/>
      <c r="G68" s="2"/>
      <c r="H68" s="2"/>
      <c r="I68" s="2"/>
      <c r="J68" s="2"/>
      <c r="K68" s="2"/>
    </row>
    <row r="69" spans="1:11" ht="13.8" x14ac:dyDescent="0.3">
      <c r="A69" s="3"/>
      <c r="E69" s="2"/>
      <c r="F69" s="2"/>
      <c r="G69" s="2"/>
      <c r="H69" s="2"/>
      <c r="I69" s="2"/>
      <c r="J69" s="2"/>
      <c r="K69" s="2"/>
    </row>
    <row r="70" spans="1:11" ht="13.8" x14ac:dyDescent="0.3">
      <c r="A70" s="3"/>
      <c r="E70" s="2"/>
      <c r="F70" s="2"/>
      <c r="G70" s="2"/>
      <c r="H70" s="2"/>
      <c r="I70" s="2"/>
      <c r="J70" s="2"/>
      <c r="K70" s="2"/>
    </row>
    <row r="71" spans="1:11" ht="13.8" x14ac:dyDescent="0.3">
      <c r="A71" s="3"/>
      <c r="E71" s="2"/>
      <c r="F71" s="2"/>
      <c r="G71" s="2"/>
      <c r="H71" s="2"/>
      <c r="I71" s="2"/>
      <c r="J71" s="2"/>
      <c r="K71" s="2"/>
    </row>
    <row r="72" spans="1:11" ht="13.8" x14ac:dyDescent="0.3">
      <c r="A72" s="3"/>
      <c r="E72" s="2"/>
      <c r="F72" s="2"/>
      <c r="G72" s="2"/>
      <c r="H72" s="2"/>
      <c r="I72" s="2"/>
      <c r="J72" s="2"/>
      <c r="K72" s="2"/>
    </row>
    <row r="73" spans="1:11" ht="13.8" x14ac:dyDescent="0.3">
      <c r="A73" s="3"/>
      <c r="E73" s="2"/>
      <c r="F73" s="2"/>
      <c r="G73" s="2"/>
      <c r="H73" s="2"/>
      <c r="I73" s="2"/>
      <c r="J73" s="2"/>
      <c r="K73" s="2"/>
    </row>
    <row r="74" spans="1:11" ht="13.8" x14ac:dyDescent="0.3">
      <c r="A74" s="3"/>
      <c r="E74" s="2"/>
      <c r="F74" s="2"/>
      <c r="G74" s="2"/>
      <c r="H74" s="2"/>
      <c r="I74" s="2"/>
      <c r="J74" s="2"/>
      <c r="K74" s="2"/>
    </row>
    <row r="75" spans="1:11" ht="13.8" x14ac:dyDescent="0.3">
      <c r="A75" s="3"/>
      <c r="E75" s="2"/>
      <c r="F75" s="2"/>
      <c r="G75" s="2"/>
      <c r="H75" s="2"/>
      <c r="I75" s="2"/>
      <c r="J75" s="2"/>
      <c r="K75" s="2"/>
    </row>
    <row r="76" spans="1:11" ht="13.8" x14ac:dyDescent="0.3">
      <c r="A76" s="3"/>
      <c r="E76" s="2"/>
      <c r="F76" s="2"/>
      <c r="G76" s="2"/>
      <c r="H76" s="2"/>
      <c r="I76" s="2"/>
      <c r="J76" s="2"/>
      <c r="K76" s="2"/>
    </row>
    <row r="77" spans="1:11" ht="13.8" x14ac:dyDescent="0.3">
      <c r="A77" s="3"/>
      <c r="E77" s="2"/>
      <c r="F77" s="2"/>
      <c r="G77" s="2"/>
      <c r="H77" s="2"/>
      <c r="I77" s="2"/>
      <c r="J77" s="2"/>
      <c r="K77" s="2"/>
    </row>
    <row r="78" spans="1:11" ht="13.8" x14ac:dyDescent="0.3">
      <c r="A78" s="3"/>
      <c r="E78" s="2"/>
      <c r="F78" s="2"/>
      <c r="G78" s="2"/>
      <c r="H78" s="2"/>
      <c r="I78" s="2"/>
      <c r="J78" s="2"/>
      <c r="K78" s="2"/>
    </row>
    <row r="79" spans="1:11" ht="13.8" x14ac:dyDescent="0.3">
      <c r="A79" s="3"/>
      <c r="E79" s="2"/>
      <c r="F79" s="2"/>
      <c r="G79" s="2"/>
      <c r="H79" s="2"/>
      <c r="I79" s="2"/>
      <c r="J79" s="2"/>
      <c r="K79" s="2"/>
    </row>
    <row r="80" spans="1:11" ht="13.8" x14ac:dyDescent="0.3">
      <c r="A80" s="3"/>
      <c r="E80" s="2"/>
      <c r="F80" s="2"/>
      <c r="G80" s="2"/>
      <c r="H80" s="2"/>
      <c r="I80" s="2"/>
      <c r="J80" s="2"/>
      <c r="K80" s="2"/>
    </row>
    <row r="81" spans="1:11" ht="13.8" x14ac:dyDescent="0.3">
      <c r="A81" s="3"/>
      <c r="E81" s="2"/>
      <c r="F81" s="2"/>
      <c r="G81" s="2"/>
      <c r="H81" s="2"/>
      <c r="I81" s="2"/>
      <c r="J81" s="2"/>
      <c r="K81" s="2"/>
    </row>
    <row r="82" spans="1:11" ht="13.8" x14ac:dyDescent="0.3">
      <c r="A82" s="3"/>
      <c r="E82" s="2"/>
      <c r="F82" s="2"/>
      <c r="G82" s="2"/>
      <c r="H82" s="2"/>
      <c r="I82" s="2"/>
      <c r="J82" s="2"/>
      <c r="K82" s="2"/>
    </row>
    <row r="83" spans="1:11" ht="13.8" x14ac:dyDescent="0.3">
      <c r="A83" s="3"/>
      <c r="E83" s="2"/>
      <c r="F83" s="2"/>
      <c r="G83" s="2"/>
      <c r="H83" s="2"/>
      <c r="I83" s="2"/>
      <c r="J83" s="2"/>
      <c r="K83" s="2"/>
    </row>
    <row r="84" spans="1:11" ht="13.8" x14ac:dyDescent="0.3">
      <c r="A84" s="3"/>
      <c r="E84" s="2"/>
      <c r="F84" s="2"/>
      <c r="G84" s="2"/>
      <c r="H84" s="2"/>
      <c r="I84" s="2"/>
      <c r="J84" s="2"/>
      <c r="K84" s="2"/>
    </row>
    <row r="85" spans="1:11" ht="13.8" x14ac:dyDescent="0.3">
      <c r="A85" s="3"/>
      <c r="E85" s="2"/>
      <c r="F85" s="2"/>
      <c r="G85" s="2"/>
      <c r="H85" s="2"/>
      <c r="I85" s="2"/>
      <c r="J85" s="2"/>
      <c r="K85" s="2"/>
    </row>
    <row r="86" spans="1:11" ht="13.8" x14ac:dyDescent="0.3">
      <c r="A86" s="3"/>
      <c r="E86" s="2"/>
      <c r="F86" s="2"/>
      <c r="G86" s="2"/>
      <c r="H86" s="2"/>
      <c r="I86" s="2"/>
      <c r="J86" s="2"/>
      <c r="K86" s="2"/>
    </row>
    <row r="87" spans="1:11" ht="13.8" x14ac:dyDescent="0.3">
      <c r="A87" s="3"/>
      <c r="E87" s="2"/>
      <c r="F87" s="2"/>
      <c r="G87" s="2"/>
      <c r="H87" s="2"/>
      <c r="I87" s="2"/>
      <c r="J87" s="2"/>
      <c r="K87" s="2"/>
    </row>
    <row r="88" spans="1:11" ht="13.8" x14ac:dyDescent="0.3">
      <c r="A88" s="3"/>
      <c r="E88" s="2"/>
      <c r="F88" s="2"/>
      <c r="G88" s="2"/>
      <c r="H88" s="2"/>
      <c r="I88" s="2"/>
      <c r="J88" s="2"/>
      <c r="K88" s="2"/>
    </row>
    <row r="89" spans="1:11" ht="13.8" x14ac:dyDescent="0.3">
      <c r="A89" s="3"/>
      <c r="E89" s="2"/>
      <c r="F89" s="2"/>
      <c r="G89" s="2"/>
      <c r="H89" s="2"/>
      <c r="I89" s="2"/>
      <c r="J89" s="2"/>
      <c r="K89" s="2"/>
    </row>
    <row r="90" spans="1:11" ht="13.8" x14ac:dyDescent="0.3">
      <c r="A90" s="3"/>
      <c r="E90" s="2"/>
      <c r="F90" s="2"/>
      <c r="G90" s="2"/>
      <c r="H90" s="2"/>
      <c r="I90" s="2"/>
      <c r="J90" s="2"/>
      <c r="K90" s="2"/>
    </row>
    <row r="91" spans="1:11" ht="13.8" x14ac:dyDescent="0.3">
      <c r="A91" s="3"/>
      <c r="E91" s="2"/>
      <c r="F91" s="2"/>
      <c r="G91" s="2"/>
      <c r="H91" s="2"/>
      <c r="I91" s="2"/>
      <c r="J91" s="2"/>
      <c r="K91" s="2"/>
    </row>
    <row r="92" spans="1:11" ht="13.8" x14ac:dyDescent="0.3">
      <c r="A92" s="3"/>
      <c r="E92" s="2"/>
      <c r="F92" s="2"/>
      <c r="G92" s="2"/>
      <c r="H92" s="2"/>
      <c r="I92" s="2"/>
      <c r="J92" s="2"/>
      <c r="K92" s="2"/>
    </row>
    <row r="93" spans="1:11" ht="13.8" x14ac:dyDescent="0.3">
      <c r="A93" s="3"/>
      <c r="E93" s="2"/>
      <c r="F93" s="2"/>
      <c r="G93" s="2"/>
      <c r="H93" s="2"/>
      <c r="I93" s="2"/>
      <c r="J93" s="2"/>
      <c r="K93" s="2"/>
    </row>
    <row r="94" spans="1:11" ht="13.8" x14ac:dyDescent="0.3">
      <c r="A94" s="3"/>
      <c r="E94" s="2"/>
      <c r="F94" s="2"/>
      <c r="G94" s="2"/>
      <c r="H94" s="2"/>
      <c r="I94" s="2"/>
      <c r="J94" s="2"/>
      <c r="K94" s="2"/>
    </row>
    <row r="95" spans="1:11" ht="13.8" x14ac:dyDescent="0.3">
      <c r="A95" s="3"/>
      <c r="E95" s="2"/>
      <c r="F95" s="2"/>
      <c r="G95" s="2"/>
      <c r="H95" s="2"/>
      <c r="I95" s="2"/>
      <c r="J95" s="2"/>
      <c r="K95" s="2"/>
    </row>
    <row r="96" spans="1:11" ht="13.8" x14ac:dyDescent="0.3">
      <c r="A96" s="3"/>
      <c r="E96" s="2"/>
      <c r="F96" s="2"/>
      <c r="G96" s="2"/>
      <c r="H96" s="2"/>
      <c r="I96" s="2"/>
      <c r="J96" s="2"/>
      <c r="K96" s="2"/>
    </row>
    <row r="97" spans="1:11" ht="13.8" x14ac:dyDescent="0.3">
      <c r="A97" s="3"/>
      <c r="E97" s="2"/>
      <c r="F97" s="2"/>
      <c r="G97" s="2"/>
      <c r="H97" s="2"/>
      <c r="I97" s="2"/>
      <c r="J97" s="2"/>
      <c r="K97" s="2"/>
    </row>
    <row r="98" spans="1:11" ht="13.8" x14ac:dyDescent="0.3">
      <c r="A98" s="3"/>
      <c r="E98" s="2"/>
      <c r="F98" s="2"/>
      <c r="G98" s="2"/>
      <c r="H98" s="2"/>
      <c r="I98" s="2"/>
      <c r="J98" s="2"/>
      <c r="K98" s="2"/>
    </row>
    <row r="99" spans="1:11" ht="13.8" x14ac:dyDescent="0.3">
      <c r="A99" s="3"/>
      <c r="E99" s="2"/>
      <c r="F99" s="2"/>
      <c r="G99" s="2"/>
      <c r="H99" s="2"/>
      <c r="I99" s="2"/>
      <c r="J99" s="2"/>
      <c r="K99" s="2"/>
    </row>
    <row r="100" spans="1:11" ht="13.8" x14ac:dyDescent="0.3">
      <c r="A100" s="3"/>
      <c r="E100" s="2"/>
      <c r="F100" s="2"/>
      <c r="G100" s="2"/>
      <c r="H100" s="2"/>
      <c r="I100" s="2"/>
      <c r="J100" s="2"/>
      <c r="K100" s="2"/>
    </row>
    <row r="101" spans="1:11" ht="13.8" x14ac:dyDescent="0.3">
      <c r="A101" s="3"/>
      <c r="E101" s="2"/>
      <c r="F101" s="2"/>
      <c r="G101" s="2"/>
      <c r="H101" s="2"/>
      <c r="I101" s="2"/>
      <c r="J101" s="2"/>
      <c r="K101" s="2"/>
    </row>
    <row r="102" spans="1:11" ht="13.8" x14ac:dyDescent="0.3">
      <c r="A102" s="3"/>
      <c r="E102" s="2"/>
      <c r="F102" s="2"/>
      <c r="G102" s="2"/>
      <c r="H102" s="2"/>
      <c r="I102" s="2"/>
      <c r="J102" s="2"/>
      <c r="K102" s="2"/>
    </row>
    <row r="103" spans="1:11" ht="13.8" x14ac:dyDescent="0.3">
      <c r="A103" s="3"/>
      <c r="E103" s="2"/>
      <c r="F103" s="2"/>
      <c r="G103" s="2"/>
      <c r="H103" s="2"/>
      <c r="I103" s="2"/>
      <c r="J103" s="2"/>
      <c r="K103" s="2"/>
    </row>
    <row r="104" spans="1:11" ht="13.8" x14ac:dyDescent="0.3">
      <c r="A104" s="3"/>
      <c r="E104" s="2"/>
      <c r="F104" s="2"/>
      <c r="G104" s="2"/>
      <c r="H104" s="2"/>
      <c r="I104" s="2"/>
      <c r="J104" s="2"/>
      <c r="K104" s="2"/>
    </row>
    <row r="105" spans="1:11" ht="13.8" x14ac:dyDescent="0.3">
      <c r="A105" s="3"/>
      <c r="E105" s="2"/>
      <c r="F105" s="2"/>
      <c r="G105" s="2"/>
      <c r="H105" s="2"/>
      <c r="I105" s="2"/>
      <c r="J105" s="2"/>
      <c r="K105" s="2"/>
    </row>
    <row r="106" spans="1:11" ht="13.8" x14ac:dyDescent="0.3">
      <c r="A106" s="3"/>
      <c r="E106" s="2"/>
      <c r="F106" s="2"/>
      <c r="G106" s="2"/>
      <c r="H106" s="2"/>
      <c r="I106" s="2"/>
      <c r="J106" s="2"/>
      <c r="K106" s="2"/>
    </row>
    <row r="107" spans="1:11" ht="13.8" x14ac:dyDescent="0.3">
      <c r="A107" s="3"/>
      <c r="E107" s="2"/>
      <c r="F107" s="2"/>
      <c r="G107" s="2"/>
      <c r="H107" s="2"/>
      <c r="I107" s="2"/>
      <c r="J107" s="2"/>
      <c r="K107" s="2"/>
    </row>
    <row r="108" spans="1:11" ht="13.8" x14ac:dyDescent="0.3">
      <c r="A108" s="3"/>
      <c r="E108" s="2"/>
      <c r="F108" s="2"/>
      <c r="G108" s="2"/>
      <c r="H108" s="2"/>
      <c r="I108" s="2"/>
      <c r="J108" s="2"/>
      <c r="K108" s="2"/>
    </row>
    <row r="109" spans="1:11" ht="13.8" x14ac:dyDescent="0.3">
      <c r="A109" s="3"/>
      <c r="E109" s="2"/>
      <c r="F109" s="2"/>
      <c r="G109" s="2"/>
      <c r="H109" s="2"/>
      <c r="I109" s="2"/>
      <c r="J109" s="2"/>
      <c r="K109" s="2"/>
    </row>
    <row r="110" spans="1:11" ht="13.8" x14ac:dyDescent="0.3">
      <c r="A110" s="3"/>
      <c r="E110" s="2"/>
      <c r="F110" s="2"/>
      <c r="G110" s="2"/>
      <c r="H110" s="2"/>
      <c r="I110" s="2"/>
      <c r="J110" s="2"/>
      <c r="K110" s="2"/>
    </row>
    <row r="111" spans="1:11" ht="13.8" x14ac:dyDescent="0.3">
      <c r="A111" s="3"/>
      <c r="E111" s="2"/>
      <c r="F111" s="2"/>
      <c r="G111" s="2"/>
      <c r="H111" s="2"/>
      <c r="I111" s="2"/>
      <c r="J111" s="2"/>
      <c r="K111" s="2"/>
    </row>
    <row r="112" spans="1:11" ht="13.8" x14ac:dyDescent="0.3">
      <c r="A112" s="3"/>
      <c r="E112" s="2"/>
      <c r="F112" s="2"/>
      <c r="G112" s="2"/>
      <c r="H112" s="2"/>
      <c r="I112" s="2"/>
      <c r="J112" s="2"/>
      <c r="K112" s="2"/>
    </row>
    <row r="113" spans="1:11" ht="13.8" x14ac:dyDescent="0.3">
      <c r="A113" s="3"/>
      <c r="E113" s="2"/>
      <c r="F113" s="2"/>
      <c r="G113" s="2"/>
      <c r="H113" s="2"/>
      <c r="I113" s="2"/>
      <c r="J113" s="2"/>
      <c r="K113" s="2"/>
    </row>
    <row r="114" spans="1:11" ht="13.8" x14ac:dyDescent="0.3">
      <c r="A114" s="3"/>
      <c r="E114" s="2"/>
      <c r="F114" s="2"/>
      <c r="G114" s="2"/>
      <c r="H114" s="2"/>
      <c r="I114" s="2"/>
      <c r="J114" s="2"/>
      <c r="K114" s="2"/>
    </row>
    <row r="115" spans="1:11" ht="13.8" x14ac:dyDescent="0.3">
      <c r="A115" s="3"/>
      <c r="E115" s="2"/>
      <c r="F115" s="2"/>
      <c r="G115" s="2"/>
      <c r="H115" s="2"/>
      <c r="I115" s="2"/>
      <c r="J115" s="2"/>
      <c r="K115" s="2"/>
    </row>
    <row r="116" spans="1:11" ht="13.8" x14ac:dyDescent="0.3">
      <c r="A116" s="3"/>
      <c r="E116" s="2"/>
      <c r="F116" s="2"/>
      <c r="G116" s="2"/>
      <c r="H116" s="2"/>
      <c r="I116" s="2"/>
      <c r="J116" s="2"/>
      <c r="K116" s="2"/>
    </row>
    <row r="117" spans="1:11" ht="13.8" x14ac:dyDescent="0.3">
      <c r="A117" s="3"/>
      <c r="E117" s="2"/>
      <c r="F117" s="2"/>
      <c r="G117" s="2"/>
      <c r="H117" s="2"/>
      <c r="I117" s="2"/>
      <c r="J117" s="2"/>
      <c r="K117" s="2"/>
    </row>
    <row r="118" spans="1:11" ht="13.8" x14ac:dyDescent="0.3">
      <c r="A118" s="3"/>
      <c r="E118" s="2"/>
      <c r="F118" s="2"/>
      <c r="G118" s="2"/>
      <c r="H118" s="2"/>
      <c r="I118" s="2"/>
      <c r="J118" s="2"/>
      <c r="K118" s="2"/>
    </row>
    <row r="119" spans="1:11" ht="13.8" x14ac:dyDescent="0.3">
      <c r="A119" s="3"/>
      <c r="E119" s="2"/>
      <c r="F119" s="2"/>
      <c r="G119" s="2"/>
      <c r="H119" s="2"/>
      <c r="I119" s="2"/>
      <c r="J119" s="2"/>
      <c r="K119" s="2"/>
    </row>
    <row r="120" spans="1:11" ht="13.8" x14ac:dyDescent="0.3">
      <c r="A120" s="3"/>
      <c r="E120" s="2"/>
      <c r="F120" s="2"/>
      <c r="G120" s="2"/>
      <c r="H120" s="2"/>
      <c r="I120" s="2"/>
      <c r="J120" s="2"/>
      <c r="K120" s="2"/>
    </row>
    <row r="121" spans="1:11" ht="13.8" x14ac:dyDescent="0.3">
      <c r="A121" s="3"/>
      <c r="E121" s="2"/>
      <c r="F121" s="2"/>
      <c r="G121" s="2"/>
      <c r="H121" s="2"/>
      <c r="I121" s="2"/>
      <c r="J121" s="2"/>
      <c r="K121" s="2"/>
    </row>
    <row r="122" spans="1:11" ht="13.8" x14ac:dyDescent="0.3">
      <c r="A122" s="3"/>
      <c r="E122" s="2"/>
      <c r="F122" s="2"/>
      <c r="G122" s="2"/>
      <c r="H122" s="2"/>
      <c r="I122" s="2"/>
      <c r="J122" s="2"/>
      <c r="K122" s="2"/>
    </row>
    <row r="123" spans="1:11" ht="13.8" x14ac:dyDescent="0.3">
      <c r="A123" s="3"/>
      <c r="E123" s="2"/>
      <c r="F123" s="2"/>
      <c r="G123" s="2"/>
      <c r="H123" s="2"/>
      <c r="I123" s="2"/>
      <c r="J123" s="2"/>
      <c r="K123" s="2"/>
    </row>
    <row r="124" spans="1:11" ht="13.8" x14ac:dyDescent="0.3">
      <c r="A124" s="3"/>
      <c r="E124" s="2"/>
      <c r="F124" s="2"/>
      <c r="G124" s="2"/>
      <c r="H124" s="2"/>
      <c r="I124" s="2"/>
      <c r="J124" s="2"/>
      <c r="K124" s="2"/>
    </row>
    <row r="125" spans="1:11" ht="13.8" x14ac:dyDescent="0.3">
      <c r="A125" s="3"/>
      <c r="E125" s="2"/>
      <c r="F125" s="2"/>
      <c r="G125" s="2"/>
      <c r="H125" s="2"/>
      <c r="I125" s="2"/>
      <c r="J125" s="2"/>
      <c r="K125" s="2"/>
    </row>
    <row r="126" spans="1:11" ht="13.8" x14ac:dyDescent="0.3">
      <c r="A126" s="3"/>
      <c r="E126" s="2"/>
      <c r="F126" s="2"/>
      <c r="G126" s="2"/>
      <c r="H126" s="2"/>
      <c r="I126" s="2"/>
      <c r="J126" s="2"/>
      <c r="K126" s="2"/>
    </row>
    <row r="127" spans="1:11" ht="13.8" x14ac:dyDescent="0.3">
      <c r="A127" s="3"/>
      <c r="E127" s="2"/>
      <c r="F127" s="2"/>
      <c r="G127" s="2"/>
      <c r="H127" s="2"/>
      <c r="I127" s="2"/>
      <c r="J127" s="2"/>
      <c r="K127" s="2"/>
    </row>
    <row r="128" spans="1:11" ht="13.8" x14ac:dyDescent="0.3">
      <c r="A128" s="3"/>
      <c r="E128" s="2"/>
      <c r="F128" s="2"/>
      <c r="G128" s="2"/>
      <c r="H128" s="2"/>
      <c r="I128" s="2"/>
      <c r="J128" s="2"/>
      <c r="K128" s="2"/>
    </row>
    <row r="129" spans="1:11" ht="13.8" x14ac:dyDescent="0.3">
      <c r="A129" s="3"/>
      <c r="E129" s="2"/>
      <c r="F129" s="2"/>
      <c r="G129" s="2"/>
      <c r="H129" s="2"/>
      <c r="I129" s="2"/>
      <c r="J129" s="2"/>
      <c r="K129" s="2"/>
    </row>
    <row r="130" spans="1:11" ht="13.8" x14ac:dyDescent="0.3">
      <c r="A130" s="3"/>
      <c r="E130" s="2"/>
      <c r="F130" s="2"/>
      <c r="G130" s="2"/>
      <c r="H130" s="2"/>
      <c r="I130" s="2"/>
      <c r="J130" s="2"/>
      <c r="K130" s="2"/>
    </row>
    <row r="131" spans="1:11" ht="13.8" x14ac:dyDescent="0.3">
      <c r="A131" s="3"/>
      <c r="E131" s="2"/>
      <c r="F131" s="2"/>
      <c r="G131" s="2"/>
      <c r="H131" s="2"/>
      <c r="I131" s="2"/>
      <c r="J131" s="2"/>
      <c r="K131" s="2"/>
    </row>
    <row r="132" spans="1:11" ht="13.8" x14ac:dyDescent="0.3">
      <c r="A132" s="3"/>
      <c r="E132" s="2"/>
      <c r="F132" s="2"/>
      <c r="G132" s="2"/>
      <c r="H132" s="2"/>
      <c r="I132" s="2"/>
      <c r="J132" s="2"/>
      <c r="K132" s="2"/>
    </row>
    <row r="133" spans="1:11" ht="13.8" x14ac:dyDescent="0.3">
      <c r="A133" s="3"/>
      <c r="E133" s="2"/>
      <c r="F133" s="2"/>
      <c r="G133" s="2"/>
      <c r="H133" s="2"/>
      <c r="I133" s="2"/>
      <c r="J133" s="2"/>
      <c r="K133" s="2"/>
    </row>
    <row r="134" spans="1:11" ht="13.8" x14ac:dyDescent="0.3">
      <c r="A134" s="3"/>
      <c r="E134" s="2"/>
      <c r="F134" s="2"/>
      <c r="G134" s="2"/>
      <c r="H134" s="2"/>
      <c r="I134" s="2"/>
      <c r="J134" s="2"/>
      <c r="K134" s="2"/>
    </row>
    <row r="135" spans="1:11" ht="13.8" x14ac:dyDescent="0.3">
      <c r="A135" s="3"/>
      <c r="E135" s="2"/>
      <c r="F135" s="2"/>
      <c r="G135" s="2"/>
      <c r="H135" s="2"/>
      <c r="I135" s="2"/>
      <c r="J135" s="2"/>
      <c r="K135" s="2"/>
    </row>
    <row r="136" spans="1:11" ht="13.8" x14ac:dyDescent="0.3">
      <c r="A136" s="3"/>
      <c r="E136" s="2"/>
      <c r="F136" s="2"/>
      <c r="G136" s="2"/>
      <c r="H136" s="2"/>
      <c r="I136" s="2"/>
      <c r="J136" s="2"/>
      <c r="K136" s="2"/>
    </row>
    <row r="137" spans="1:11" ht="13.8" x14ac:dyDescent="0.3">
      <c r="A137" s="3"/>
      <c r="E137" s="2"/>
      <c r="F137" s="2"/>
      <c r="G137" s="2"/>
      <c r="H137" s="2"/>
      <c r="I137" s="2"/>
      <c r="J137" s="2"/>
      <c r="K137" s="2"/>
    </row>
    <row r="138" spans="1:11" ht="13.8" x14ac:dyDescent="0.3">
      <c r="A138" s="3"/>
      <c r="E138" s="2"/>
      <c r="F138" s="2"/>
      <c r="G138" s="2"/>
      <c r="H138" s="2"/>
      <c r="I138" s="2"/>
      <c r="J138" s="2"/>
      <c r="K138" s="2"/>
    </row>
    <row r="139" spans="1:11" ht="13.8" x14ac:dyDescent="0.3">
      <c r="A139" s="3"/>
      <c r="E139" s="2"/>
      <c r="F139" s="2"/>
      <c r="G139" s="2"/>
      <c r="H139" s="2"/>
      <c r="I139" s="2"/>
      <c r="J139" s="2"/>
      <c r="K139" s="2"/>
    </row>
    <row r="140" spans="1:11" ht="13.8" x14ac:dyDescent="0.3">
      <c r="A140" s="3"/>
      <c r="E140" s="2"/>
      <c r="F140" s="2"/>
      <c r="G140" s="2"/>
      <c r="H140" s="2"/>
      <c r="I140" s="2"/>
      <c r="J140" s="2"/>
      <c r="K140" s="2"/>
    </row>
    <row r="141" spans="1:11" ht="13.8" x14ac:dyDescent="0.3">
      <c r="A141" s="3"/>
      <c r="E141" s="2"/>
      <c r="F141" s="2"/>
      <c r="G141" s="2"/>
      <c r="H141" s="2"/>
      <c r="I141" s="2"/>
      <c r="J141" s="2"/>
      <c r="K141" s="2"/>
    </row>
    <row r="142" spans="1:11" ht="13.8" x14ac:dyDescent="0.3">
      <c r="A142" s="3"/>
      <c r="E142" s="2"/>
      <c r="F142" s="2"/>
      <c r="G142" s="2"/>
      <c r="H142" s="2"/>
      <c r="I142" s="2"/>
      <c r="J142" s="2"/>
      <c r="K142" s="2"/>
    </row>
    <row r="143" spans="1:11" ht="13.8" x14ac:dyDescent="0.3">
      <c r="A143" s="3"/>
      <c r="E143" s="2"/>
      <c r="F143" s="2"/>
      <c r="G143" s="2"/>
      <c r="H143" s="2"/>
      <c r="I143" s="2"/>
      <c r="J143" s="2"/>
      <c r="K143" s="2"/>
    </row>
    <row r="144" spans="1:11" ht="13.8" x14ac:dyDescent="0.3">
      <c r="A144" s="3"/>
      <c r="E144" s="2"/>
      <c r="F144" s="2"/>
      <c r="G144" s="2"/>
      <c r="H144" s="2"/>
      <c r="I144" s="2"/>
      <c r="J144" s="2"/>
      <c r="K144" s="2"/>
    </row>
    <row r="145" spans="1:11" ht="13.8" x14ac:dyDescent="0.3">
      <c r="A145" s="3"/>
      <c r="E145" s="2"/>
      <c r="F145" s="2"/>
      <c r="G145" s="2"/>
      <c r="H145" s="2"/>
      <c r="I145" s="2"/>
      <c r="J145" s="2"/>
      <c r="K145" s="2"/>
    </row>
    <row r="146" spans="1:11" ht="13.8" x14ac:dyDescent="0.3">
      <c r="A146" s="3"/>
      <c r="E146" s="2"/>
      <c r="F146" s="2"/>
      <c r="G146" s="2"/>
      <c r="H146" s="2"/>
      <c r="I146" s="2"/>
      <c r="J146" s="2"/>
      <c r="K146" s="2"/>
    </row>
    <row r="147" spans="1:11" ht="13.8" x14ac:dyDescent="0.3">
      <c r="A147" s="3"/>
      <c r="E147" s="2"/>
      <c r="F147" s="2"/>
      <c r="G147" s="2"/>
      <c r="H147" s="2"/>
      <c r="I147" s="2"/>
      <c r="J147" s="2"/>
      <c r="K147" s="2"/>
    </row>
    <row r="148" spans="1:11" ht="13.8" x14ac:dyDescent="0.3">
      <c r="A148" s="3"/>
      <c r="E148" s="2"/>
      <c r="F148" s="2"/>
      <c r="G148" s="2"/>
      <c r="H148" s="2"/>
      <c r="I148" s="2"/>
      <c r="J148" s="2"/>
      <c r="K148" s="2"/>
    </row>
    <row r="149" spans="1:11" ht="13.8" x14ac:dyDescent="0.3">
      <c r="A149" s="3"/>
      <c r="E149" s="2"/>
      <c r="F149" s="2"/>
      <c r="G149" s="2"/>
      <c r="H149" s="2"/>
      <c r="I149" s="2"/>
      <c r="J149" s="2"/>
      <c r="K149" s="2"/>
    </row>
    <row r="150" spans="1:11" ht="13.8" x14ac:dyDescent="0.3">
      <c r="A150" s="3"/>
      <c r="E150" s="2"/>
      <c r="F150" s="2"/>
      <c r="G150" s="2"/>
      <c r="H150" s="2"/>
      <c r="I150" s="2"/>
      <c r="J150" s="2"/>
      <c r="K150" s="2"/>
    </row>
    <row r="151" spans="1:11" ht="13.8" x14ac:dyDescent="0.3">
      <c r="A151" s="3"/>
      <c r="E151" s="2"/>
      <c r="F151" s="2"/>
      <c r="G151" s="2"/>
      <c r="H151" s="2"/>
      <c r="I151" s="2"/>
      <c r="J151" s="2"/>
      <c r="K151" s="2"/>
    </row>
    <row r="152" spans="1:11" ht="13.8" x14ac:dyDescent="0.3">
      <c r="A152" s="3"/>
      <c r="E152" s="2"/>
      <c r="F152" s="2"/>
      <c r="G152" s="2"/>
      <c r="H152" s="2"/>
      <c r="I152" s="2"/>
      <c r="J152" s="2"/>
      <c r="K152" s="2"/>
    </row>
    <row r="153" spans="1:11" ht="13.8" x14ac:dyDescent="0.3">
      <c r="A153" s="3"/>
      <c r="E153" s="2"/>
      <c r="F153" s="2"/>
      <c r="G153" s="2"/>
      <c r="H153" s="2"/>
      <c r="I153" s="2"/>
      <c r="J153" s="2"/>
      <c r="K153" s="2"/>
    </row>
    <row r="154" spans="1:11" ht="13.8" x14ac:dyDescent="0.3">
      <c r="A154" s="3"/>
      <c r="E154" s="2"/>
      <c r="F154" s="2"/>
      <c r="G154" s="2"/>
      <c r="H154" s="2"/>
      <c r="I154" s="2"/>
      <c r="J154" s="2"/>
      <c r="K154" s="2"/>
    </row>
    <row r="155" spans="1:11" ht="13.8" x14ac:dyDescent="0.3">
      <c r="A155" s="3"/>
      <c r="E155" s="2"/>
      <c r="F155" s="2"/>
      <c r="G155" s="2"/>
      <c r="H155" s="2"/>
      <c r="I155" s="2"/>
      <c r="J155" s="2"/>
      <c r="K155" s="2"/>
    </row>
    <row r="156" spans="1:11" ht="13.8" x14ac:dyDescent="0.3">
      <c r="A156" s="3"/>
      <c r="E156" s="2"/>
      <c r="F156" s="2"/>
      <c r="G156" s="2"/>
      <c r="H156" s="2"/>
      <c r="I156" s="2"/>
      <c r="J156" s="2"/>
      <c r="K156" s="2"/>
    </row>
    <row r="157" spans="1:11" ht="13.8" x14ac:dyDescent="0.3">
      <c r="A157" s="3"/>
      <c r="E157" s="2"/>
      <c r="F157" s="2"/>
      <c r="G157" s="2"/>
      <c r="H157" s="2"/>
      <c r="I157" s="2"/>
      <c r="J157" s="2"/>
      <c r="K157" s="2"/>
    </row>
    <row r="158" spans="1:11" ht="13.8" x14ac:dyDescent="0.3">
      <c r="A158" s="3"/>
      <c r="E158" s="2"/>
      <c r="F158" s="2"/>
      <c r="G158" s="2"/>
      <c r="H158" s="2"/>
      <c r="I158" s="2"/>
      <c r="J158" s="2"/>
      <c r="K158" s="2"/>
    </row>
    <row r="159" spans="1:11" ht="13.8" x14ac:dyDescent="0.3">
      <c r="A159" s="3"/>
      <c r="E159" s="2"/>
      <c r="F159" s="2"/>
      <c r="G159" s="2"/>
      <c r="H159" s="2"/>
      <c r="I159" s="2"/>
      <c r="J159" s="2"/>
      <c r="K159" s="2"/>
    </row>
    <row r="160" spans="1:11" ht="13.8" x14ac:dyDescent="0.3">
      <c r="A160" s="3"/>
      <c r="E160" s="2"/>
      <c r="F160" s="2"/>
      <c r="G160" s="2"/>
      <c r="H160" s="2"/>
      <c r="I160" s="2"/>
      <c r="J160" s="2"/>
      <c r="K160" s="2"/>
    </row>
    <row r="161" spans="1:11" ht="13.8" x14ac:dyDescent="0.3">
      <c r="A161" s="3"/>
      <c r="E161" s="2"/>
      <c r="F161" s="2"/>
      <c r="G161" s="2"/>
      <c r="H161" s="2"/>
      <c r="I161" s="2"/>
      <c r="J161" s="2"/>
      <c r="K161" s="2"/>
    </row>
    <row r="162" spans="1:11" ht="13.8" x14ac:dyDescent="0.3">
      <c r="A162" s="3"/>
      <c r="E162" s="2"/>
      <c r="F162" s="2"/>
      <c r="G162" s="2"/>
      <c r="H162" s="2"/>
      <c r="I162" s="2"/>
      <c r="J162" s="2"/>
      <c r="K162" s="2"/>
    </row>
    <row r="163" spans="1:11" ht="13.8" x14ac:dyDescent="0.3">
      <c r="A163" s="3"/>
      <c r="E163" s="2"/>
      <c r="F163" s="2"/>
      <c r="G163" s="2"/>
      <c r="H163" s="2"/>
      <c r="I163" s="2"/>
      <c r="J163" s="2"/>
      <c r="K163" s="2"/>
    </row>
    <row r="164" spans="1:11" ht="13.8" x14ac:dyDescent="0.3">
      <c r="A164" s="3"/>
      <c r="E164" s="2"/>
      <c r="F164" s="2"/>
      <c r="G164" s="2"/>
      <c r="H164" s="2"/>
      <c r="I164" s="2"/>
      <c r="J164" s="2"/>
      <c r="K164" s="2"/>
    </row>
    <row r="165" spans="1:11" ht="13.8" x14ac:dyDescent="0.3">
      <c r="A165" s="3"/>
      <c r="E165" s="2"/>
      <c r="F165" s="2"/>
      <c r="G165" s="2"/>
      <c r="H165" s="2"/>
      <c r="I165" s="2"/>
      <c r="J165" s="2"/>
      <c r="K165" s="2"/>
    </row>
    <row r="166" spans="1:11" ht="13.8" x14ac:dyDescent="0.3">
      <c r="A166" s="3"/>
      <c r="E166" s="2"/>
      <c r="F166" s="2"/>
      <c r="G166" s="2"/>
      <c r="H166" s="2"/>
      <c r="I166" s="2"/>
      <c r="J166" s="2"/>
      <c r="K166" s="2"/>
    </row>
    <row r="167" spans="1:11" ht="13.8" x14ac:dyDescent="0.3">
      <c r="A167" s="3"/>
      <c r="E167" s="2"/>
      <c r="F167" s="2"/>
      <c r="G167" s="2"/>
      <c r="H167" s="2"/>
      <c r="I167" s="2"/>
      <c r="J167" s="2"/>
      <c r="K167" s="2"/>
    </row>
    <row r="168" spans="1:11" ht="13.8" x14ac:dyDescent="0.3">
      <c r="A168" s="3"/>
      <c r="E168" s="2"/>
      <c r="F168" s="2"/>
      <c r="G168" s="2"/>
      <c r="H168" s="2"/>
      <c r="I168" s="2"/>
      <c r="J168" s="2"/>
      <c r="K168" s="2"/>
    </row>
    <row r="169" spans="1:11" ht="13.8" x14ac:dyDescent="0.3">
      <c r="A169" s="3"/>
      <c r="E169" s="2"/>
      <c r="F169" s="2"/>
      <c r="G169" s="2"/>
      <c r="H169" s="2"/>
      <c r="I169" s="2"/>
      <c r="J169" s="2"/>
      <c r="K169" s="2"/>
    </row>
    <row r="170" spans="1:11" ht="13.8" x14ac:dyDescent="0.3">
      <c r="A170" s="3"/>
      <c r="E170" s="2"/>
      <c r="F170" s="2"/>
      <c r="G170" s="2"/>
      <c r="H170" s="2"/>
      <c r="I170" s="2"/>
      <c r="J170" s="2"/>
      <c r="K170" s="2"/>
    </row>
    <row r="171" spans="1:11" ht="13.8" x14ac:dyDescent="0.3">
      <c r="A171" s="3"/>
      <c r="E171" s="2"/>
      <c r="F171" s="2"/>
      <c r="G171" s="2"/>
      <c r="H171" s="2"/>
      <c r="I171" s="2"/>
      <c r="J171" s="2"/>
      <c r="K171" s="2"/>
    </row>
    <row r="172" spans="1:11" ht="13.8" x14ac:dyDescent="0.3">
      <c r="A172" s="3"/>
      <c r="E172" s="2"/>
      <c r="F172" s="2"/>
      <c r="G172" s="2"/>
      <c r="H172" s="2"/>
      <c r="I172" s="2"/>
      <c r="J172" s="2"/>
      <c r="K172" s="2"/>
    </row>
    <row r="173" spans="1:11" ht="13.8" x14ac:dyDescent="0.3">
      <c r="A173" s="3"/>
      <c r="E173" s="2"/>
      <c r="F173" s="2"/>
      <c r="G173" s="2"/>
      <c r="H173" s="2"/>
      <c r="I173" s="2"/>
      <c r="J173" s="2"/>
      <c r="K173" s="2"/>
    </row>
    <row r="174" spans="1:11" ht="13.8" x14ac:dyDescent="0.3">
      <c r="A174" s="3"/>
      <c r="E174" s="2"/>
      <c r="F174" s="2"/>
      <c r="G174" s="2"/>
      <c r="H174" s="2"/>
      <c r="I174" s="2"/>
      <c r="J174" s="2"/>
      <c r="K174" s="2"/>
    </row>
    <row r="175" spans="1:11" ht="13.8" x14ac:dyDescent="0.3">
      <c r="A175" s="3"/>
      <c r="E175" s="2"/>
      <c r="F175" s="2"/>
      <c r="G175" s="2"/>
      <c r="H175" s="2"/>
      <c r="I175" s="2"/>
      <c r="J175" s="2"/>
      <c r="K175" s="2"/>
    </row>
    <row r="176" spans="1:11" ht="13.8" x14ac:dyDescent="0.3">
      <c r="A176" s="3"/>
      <c r="E176" s="2"/>
      <c r="F176" s="2"/>
      <c r="G176" s="2"/>
      <c r="H176" s="2"/>
      <c r="I176" s="2"/>
      <c r="J176" s="2"/>
      <c r="K176" s="2"/>
    </row>
    <row r="177" spans="1:11" ht="13.8" x14ac:dyDescent="0.3">
      <c r="A177" s="3"/>
      <c r="E177" s="2"/>
      <c r="F177" s="2"/>
      <c r="G177" s="2"/>
      <c r="H177" s="2"/>
      <c r="I177" s="2"/>
      <c r="J177" s="2"/>
      <c r="K177" s="2"/>
    </row>
    <row r="178" spans="1:11" ht="13.8" x14ac:dyDescent="0.3">
      <c r="A178" s="3"/>
      <c r="E178" s="2"/>
      <c r="F178" s="2"/>
      <c r="G178" s="2"/>
      <c r="H178" s="2"/>
      <c r="I178" s="2"/>
      <c r="J178" s="2"/>
      <c r="K178" s="2"/>
    </row>
    <row r="179" spans="1:11" ht="13.8" x14ac:dyDescent="0.3">
      <c r="A179" s="3"/>
      <c r="E179" s="2"/>
      <c r="F179" s="2"/>
      <c r="G179" s="2"/>
      <c r="H179" s="2"/>
      <c r="I179" s="2"/>
      <c r="J179" s="2"/>
      <c r="K179" s="2"/>
    </row>
    <row r="180" spans="1:11" ht="13.8" x14ac:dyDescent="0.3">
      <c r="A180" s="3"/>
      <c r="E180" s="2"/>
      <c r="F180" s="2"/>
      <c r="G180" s="2"/>
      <c r="H180" s="2"/>
      <c r="I180" s="2"/>
      <c r="J180" s="2"/>
      <c r="K180" s="2"/>
    </row>
    <row r="181" spans="1:11" ht="13.8" x14ac:dyDescent="0.3">
      <c r="A181" s="3"/>
      <c r="E181" s="2"/>
      <c r="F181" s="2"/>
      <c r="G181" s="2"/>
      <c r="H181" s="2"/>
      <c r="I181" s="2"/>
      <c r="J181" s="2"/>
      <c r="K181" s="2"/>
    </row>
    <row r="182" spans="1:11" ht="13.8" x14ac:dyDescent="0.3">
      <c r="A182" s="3"/>
      <c r="E182" s="2"/>
      <c r="F182" s="2"/>
      <c r="G182" s="2"/>
      <c r="H182" s="2"/>
      <c r="I182" s="2"/>
      <c r="J182" s="2"/>
      <c r="K182" s="2"/>
    </row>
    <row r="183" spans="1:11" ht="13.8" x14ac:dyDescent="0.3">
      <c r="A183" s="3"/>
      <c r="E183" s="2"/>
      <c r="F183" s="2"/>
      <c r="G183" s="2"/>
      <c r="H183" s="2"/>
      <c r="I183" s="2"/>
      <c r="J183" s="2"/>
      <c r="K183" s="2"/>
    </row>
    <row r="184" spans="1:11" ht="13.8" x14ac:dyDescent="0.3">
      <c r="A184" s="3"/>
      <c r="E184" s="2"/>
      <c r="F184" s="2"/>
      <c r="G184" s="2"/>
      <c r="H184" s="2"/>
      <c r="I184" s="2"/>
      <c r="J184" s="2"/>
      <c r="K184" s="2"/>
    </row>
    <row r="185" spans="1:11" ht="13.8" x14ac:dyDescent="0.3">
      <c r="A185" s="3"/>
      <c r="E185" s="2"/>
      <c r="F185" s="2"/>
      <c r="G185" s="2"/>
      <c r="H185" s="2"/>
      <c r="I185" s="2"/>
      <c r="J185" s="2"/>
      <c r="K185" s="2"/>
    </row>
    <row r="186" spans="1:11" ht="13.8" x14ac:dyDescent="0.3">
      <c r="A186" s="3"/>
      <c r="E186" s="2"/>
      <c r="F186" s="2"/>
      <c r="G186" s="2"/>
      <c r="H186" s="2"/>
      <c r="I186" s="2"/>
      <c r="J186" s="2"/>
      <c r="K186" s="2"/>
    </row>
    <row r="187" spans="1:11" ht="13.8" x14ac:dyDescent="0.3">
      <c r="A187" s="3"/>
      <c r="E187" s="2"/>
      <c r="F187" s="2"/>
      <c r="G187" s="2"/>
      <c r="H187" s="2"/>
      <c r="I187" s="2"/>
      <c r="J187" s="2"/>
      <c r="K187" s="2"/>
    </row>
    <row r="188" spans="1:11" ht="13.8" x14ac:dyDescent="0.3">
      <c r="A188" s="3"/>
      <c r="E188" s="2"/>
      <c r="F188" s="2"/>
      <c r="G188" s="2"/>
      <c r="H188" s="2"/>
      <c r="I188" s="2"/>
      <c r="J188" s="2"/>
      <c r="K188" s="2"/>
    </row>
    <row r="189" spans="1:11" ht="13.8" x14ac:dyDescent="0.3">
      <c r="A189" s="3"/>
      <c r="E189" s="2"/>
      <c r="F189" s="2"/>
      <c r="G189" s="2"/>
      <c r="H189" s="2"/>
      <c r="I189" s="2"/>
      <c r="J189" s="2"/>
      <c r="K189" s="2"/>
    </row>
    <row r="190" spans="1:11" ht="13.8" x14ac:dyDescent="0.3">
      <c r="A190" s="3"/>
      <c r="E190" s="2"/>
      <c r="F190" s="2"/>
      <c r="G190" s="2"/>
      <c r="H190" s="2"/>
      <c r="I190" s="2"/>
      <c r="J190" s="2"/>
      <c r="K190" s="2"/>
    </row>
    <row r="191" spans="1:11" ht="13.8" x14ac:dyDescent="0.3">
      <c r="A191" s="3"/>
      <c r="E191" s="2"/>
      <c r="F191" s="2"/>
      <c r="G191" s="2"/>
      <c r="H191" s="2"/>
      <c r="I191" s="2"/>
      <c r="J191" s="2"/>
      <c r="K191" s="2"/>
    </row>
    <row r="192" spans="1:11" ht="13.8" x14ac:dyDescent="0.3">
      <c r="A192" s="3"/>
      <c r="E192" s="2"/>
      <c r="F192" s="2"/>
      <c r="G192" s="2"/>
      <c r="H192" s="2"/>
      <c r="I192" s="2"/>
      <c r="J192" s="2"/>
      <c r="K192" s="2"/>
    </row>
    <row r="193" spans="1:11" ht="13.8" x14ac:dyDescent="0.3">
      <c r="A193" s="3"/>
      <c r="E193" s="2"/>
      <c r="F193" s="2"/>
      <c r="G193" s="2"/>
      <c r="H193" s="2"/>
      <c r="I193" s="2"/>
      <c r="J193" s="2"/>
      <c r="K193" s="2"/>
    </row>
    <row r="194" spans="1:11" ht="13.8" x14ac:dyDescent="0.3">
      <c r="A194" s="3"/>
      <c r="E194" s="2"/>
      <c r="F194" s="2"/>
      <c r="G194" s="2"/>
      <c r="H194" s="2"/>
      <c r="I194" s="2"/>
      <c r="J194" s="2"/>
      <c r="K194" s="2"/>
    </row>
    <row r="195" spans="1:11" ht="13.8" x14ac:dyDescent="0.3">
      <c r="A195" s="3"/>
      <c r="E195" s="2"/>
      <c r="F195" s="2"/>
      <c r="G195" s="2"/>
      <c r="H195" s="2"/>
      <c r="I195" s="2"/>
      <c r="J195" s="2"/>
      <c r="K195" s="2"/>
    </row>
    <row r="196" spans="1:11" ht="13.8" x14ac:dyDescent="0.3">
      <c r="A196" s="3"/>
      <c r="E196" s="2"/>
      <c r="F196" s="2"/>
      <c r="G196" s="2"/>
      <c r="H196" s="2"/>
      <c r="I196" s="2"/>
      <c r="J196" s="2"/>
      <c r="K196" s="2"/>
    </row>
    <row r="197" spans="1:11" ht="13.8" x14ac:dyDescent="0.3">
      <c r="A197" s="3"/>
      <c r="E197" s="2"/>
      <c r="F197" s="2"/>
      <c r="G197" s="2"/>
      <c r="H197" s="2"/>
      <c r="I197" s="2"/>
      <c r="J197" s="2"/>
      <c r="K197" s="2"/>
    </row>
    <row r="198" spans="1:11" ht="13.8" x14ac:dyDescent="0.3">
      <c r="A198" s="3"/>
      <c r="E198" s="2"/>
      <c r="F198" s="2"/>
      <c r="G198" s="2"/>
      <c r="H198" s="2"/>
      <c r="I198" s="2"/>
      <c r="J198" s="2"/>
      <c r="K198" s="2"/>
    </row>
    <row r="199" spans="1:11" ht="13.8" x14ac:dyDescent="0.3">
      <c r="A199" s="3"/>
      <c r="E199" s="2"/>
      <c r="F199" s="2"/>
      <c r="G199" s="2"/>
      <c r="H199" s="2"/>
      <c r="I199" s="2"/>
      <c r="J199" s="2"/>
      <c r="K199" s="2"/>
    </row>
    <row r="200" spans="1:11" ht="13.8" x14ac:dyDescent="0.3">
      <c r="A200" s="3"/>
      <c r="E200" s="2"/>
      <c r="F200" s="2"/>
      <c r="G200" s="2"/>
      <c r="H200" s="2"/>
      <c r="I200" s="2"/>
      <c r="J200" s="2"/>
      <c r="K200" s="2"/>
    </row>
    <row r="201" spans="1:11" ht="13.8" x14ac:dyDescent="0.3">
      <c r="A201" s="3"/>
      <c r="E201" s="2"/>
      <c r="F201" s="2"/>
      <c r="G201" s="2"/>
      <c r="H201" s="2"/>
      <c r="I201" s="2"/>
      <c r="J201" s="2"/>
      <c r="K201" s="2"/>
    </row>
    <row r="202" spans="1:11" ht="13.8" x14ac:dyDescent="0.3">
      <c r="A202" s="3"/>
      <c r="E202" s="2"/>
      <c r="F202" s="2"/>
      <c r="G202" s="2"/>
      <c r="H202" s="2"/>
      <c r="I202" s="2"/>
      <c r="J202" s="2"/>
      <c r="K202" s="2"/>
    </row>
    <row r="203" spans="1:11" ht="13.8" x14ac:dyDescent="0.3">
      <c r="A203" s="3"/>
      <c r="E203" s="2"/>
      <c r="F203" s="2"/>
      <c r="G203" s="2"/>
      <c r="H203" s="2"/>
      <c r="I203" s="2"/>
      <c r="J203" s="2"/>
      <c r="K203" s="2"/>
    </row>
    <row r="204" spans="1:11" ht="13.8" x14ac:dyDescent="0.3">
      <c r="A204" s="3"/>
      <c r="E204" s="2"/>
      <c r="F204" s="2"/>
      <c r="G204" s="2"/>
      <c r="H204" s="2"/>
      <c r="I204" s="2"/>
      <c r="J204" s="2"/>
      <c r="K204" s="2"/>
    </row>
    <row r="205" spans="1:11" ht="13.8" x14ac:dyDescent="0.3">
      <c r="A205" s="3"/>
      <c r="E205" s="2"/>
      <c r="F205" s="2"/>
      <c r="G205" s="2"/>
      <c r="H205" s="2"/>
      <c r="I205" s="2"/>
      <c r="J205" s="2"/>
      <c r="K205" s="2"/>
    </row>
    <row r="206" spans="1:11" ht="13.8" x14ac:dyDescent="0.3">
      <c r="A206" s="3"/>
      <c r="E206" s="2"/>
      <c r="F206" s="2"/>
      <c r="G206" s="2"/>
      <c r="H206" s="2"/>
      <c r="I206" s="2"/>
      <c r="J206" s="2"/>
      <c r="K206" s="2"/>
    </row>
    <row r="207" spans="1:11" ht="13.8" x14ac:dyDescent="0.3">
      <c r="A207" s="3"/>
      <c r="E207" s="2"/>
      <c r="F207" s="2"/>
      <c r="G207" s="2"/>
      <c r="H207" s="2"/>
      <c r="I207" s="2"/>
      <c r="J207" s="2"/>
      <c r="K207" s="2"/>
    </row>
    <row r="208" spans="1:11" ht="13.8" x14ac:dyDescent="0.3">
      <c r="A208" s="3"/>
      <c r="E208" s="2"/>
      <c r="F208" s="2"/>
      <c r="G208" s="2"/>
      <c r="H208" s="2"/>
      <c r="I208" s="2"/>
      <c r="J208" s="2"/>
      <c r="K208" s="2"/>
    </row>
    <row r="209" spans="1:11" ht="13.8" x14ac:dyDescent="0.3">
      <c r="A209" s="3"/>
      <c r="E209" s="2"/>
      <c r="F209" s="2"/>
      <c r="G209" s="2"/>
      <c r="H209" s="2"/>
      <c r="I209" s="2"/>
      <c r="J209" s="2"/>
      <c r="K209" s="2"/>
    </row>
    <row r="210" spans="1:11" ht="13.8" x14ac:dyDescent="0.3">
      <c r="A210" s="3"/>
      <c r="E210" s="2"/>
      <c r="F210" s="2"/>
      <c r="G210" s="2"/>
      <c r="H210" s="2"/>
      <c r="I210" s="2"/>
      <c r="J210" s="2"/>
      <c r="K210" s="2"/>
    </row>
    <row r="211" spans="1:11" ht="13.8" x14ac:dyDescent="0.3">
      <c r="A211" s="3"/>
      <c r="E211" s="2"/>
      <c r="F211" s="2"/>
      <c r="G211" s="2"/>
      <c r="H211" s="2"/>
      <c r="I211" s="2"/>
      <c r="J211" s="2"/>
      <c r="K211" s="2"/>
    </row>
    <row r="212" spans="1:11" ht="13.8" x14ac:dyDescent="0.3">
      <c r="A212" s="3"/>
      <c r="E212" s="2"/>
      <c r="F212" s="2"/>
      <c r="G212" s="2"/>
      <c r="H212" s="2"/>
      <c r="I212" s="2"/>
      <c r="J212" s="2"/>
      <c r="K212" s="2"/>
    </row>
    <row r="213" spans="1:11" ht="13.8" x14ac:dyDescent="0.3">
      <c r="A213" s="3"/>
      <c r="E213" s="2"/>
      <c r="F213" s="2"/>
      <c r="G213" s="2"/>
      <c r="H213" s="2"/>
      <c r="I213" s="2"/>
      <c r="J213" s="2"/>
      <c r="K213" s="2"/>
    </row>
    <row r="214" spans="1:11" ht="13.8" x14ac:dyDescent="0.3">
      <c r="A214" s="3"/>
      <c r="E214" s="2"/>
      <c r="F214" s="2"/>
      <c r="G214" s="2"/>
      <c r="H214" s="2"/>
      <c r="I214" s="2"/>
      <c r="J214" s="2"/>
      <c r="K214" s="2"/>
    </row>
    <row r="215" spans="1:11" ht="13.8" x14ac:dyDescent="0.3">
      <c r="A215" s="3"/>
      <c r="E215" s="2"/>
      <c r="F215" s="2"/>
      <c r="G215" s="2"/>
      <c r="H215" s="2"/>
      <c r="I215" s="2"/>
      <c r="J215" s="2"/>
      <c r="K215" s="2"/>
    </row>
    <row r="216" spans="1:11" ht="13.8" x14ac:dyDescent="0.3">
      <c r="A216" s="3"/>
      <c r="E216" s="2"/>
      <c r="F216" s="2"/>
      <c r="G216" s="2"/>
      <c r="H216" s="2"/>
      <c r="I216" s="2"/>
      <c r="J216" s="2"/>
      <c r="K216" s="2"/>
    </row>
    <row r="217" spans="1:11" ht="13.8" x14ac:dyDescent="0.3">
      <c r="A217" s="3"/>
      <c r="E217" s="2"/>
      <c r="F217" s="2"/>
      <c r="G217" s="2"/>
      <c r="H217" s="2"/>
      <c r="I217" s="2"/>
      <c r="J217" s="2"/>
      <c r="K217" s="2"/>
    </row>
    <row r="218" spans="1:11" ht="13.8" x14ac:dyDescent="0.3">
      <c r="A218" s="3"/>
      <c r="E218" s="2"/>
      <c r="F218" s="2"/>
      <c r="G218" s="2"/>
      <c r="H218" s="2"/>
      <c r="I218" s="2"/>
      <c r="J218" s="2"/>
      <c r="K218" s="2"/>
    </row>
    <row r="219" spans="1:11" ht="13.8" x14ac:dyDescent="0.3">
      <c r="A219" s="3"/>
      <c r="E219" s="2"/>
      <c r="F219" s="2"/>
      <c r="G219" s="2"/>
      <c r="H219" s="2"/>
      <c r="I219" s="2"/>
      <c r="J219" s="2"/>
      <c r="K219" s="2"/>
    </row>
    <row r="220" spans="1:11" ht="13.8" x14ac:dyDescent="0.3">
      <c r="A220" s="3"/>
      <c r="E220" s="2"/>
      <c r="F220" s="2"/>
      <c r="G220" s="2"/>
      <c r="H220" s="2"/>
      <c r="I220" s="2"/>
      <c r="J220" s="2"/>
      <c r="K220" s="2"/>
    </row>
    <row r="221" spans="1:11" ht="13.8" x14ac:dyDescent="0.3">
      <c r="A221" s="3"/>
      <c r="E221" s="2"/>
      <c r="F221" s="2"/>
      <c r="G221" s="2"/>
      <c r="H221" s="2"/>
      <c r="I221" s="2"/>
      <c r="J221" s="2"/>
      <c r="K221" s="2"/>
    </row>
    <row r="222" spans="1:11" ht="13.8" x14ac:dyDescent="0.3">
      <c r="A222" s="3"/>
      <c r="E222" s="2"/>
      <c r="F222" s="2"/>
      <c r="G222" s="2"/>
      <c r="H222" s="2"/>
      <c r="I222" s="2"/>
      <c r="J222" s="2"/>
      <c r="K222" s="2"/>
    </row>
    <row r="223" spans="1:11" ht="13.8" x14ac:dyDescent="0.3">
      <c r="A223" s="3"/>
      <c r="E223" s="2"/>
      <c r="F223" s="2"/>
      <c r="G223" s="2"/>
      <c r="H223" s="2"/>
      <c r="I223" s="2"/>
      <c r="J223" s="2"/>
      <c r="K223" s="2"/>
    </row>
    <row r="224" spans="1:11" ht="13.8" x14ac:dyDescent="0.3">
      <c r="A224" s="3"/>
      <c r="E224" s="2"/>
      <c r="F224" s="2"/>
      <c r="G224" s="2"/>
      <c r="H224" s="2"/>
      <c r="I224" s="2"/>
      <c r="J224" s="2"/>
      <c r="K224" s="2"/>
    </row>
    <row r="225" spans="1:11" ht="13.8" x14ac:dyDescent="0.3">
      <c r="A225" s="3"/>
      <c r="E225" s="2"/>
      <c r="F225" s="2"/>
      <c r="G225" s="2"/>
      <c r="H225" s="2"/>
      <c r="I225" s="2"/>
      <c r="J225" s="2"/>
      <c r="K225" s="2"/>
    </row>
    <row r="226" spans="1:11" ht="13.8" x14ac:dyDescent="0.3">
      <c r="A226" s="3"/>
      <c r="E226" s="2"/>
      <c r="F226" s="2"/>
      <c r="G226" s="2"/>
      <c r="H226" s="2"/>
      <c r="I226" s="2"/>
      <c r="J226" s="2"/>
      <c r="K226" s="2"/>
    </row>
    <row r="227" spans="1:11" ht="13.8" x14ac:dyDescent="0.3">
      <c r="A227" s="3"/>
      <c r="E227" s="2"/>
      <c r="F227" s="2"/>
      <c r="G227" s="2"/>
      <c r="H227" s="2"/>
      <c r="I227" s="2"/>
      <c r="J227" s="2"/>
      <c r="K227" s="2"/>
    </row>
    <row r="228" spans="1:11" ht="13.8" x14ac:dyDescent="0.3">
      <c r="A228" s="3"/>
      <c r="E228" s="2"/>
      <c r="F228" s="2"/>
      <c r="G228" s="2"/>
      <c r="H228" s="2"/>
      <c r="I228" s="2"/>
      <c r="J228" s="2"/>
      <c r="K228" s="2"/>
    </row>
    <row r="229" spans="1:11" ht="13.8" x14ac:dyDescent="0.3">
      <c r="A229" s="3"/>
      <c r="E229" s="2"/>
      <c r="F229" s="2"/>
      <c r="G229" s="2"/>
      <c r="H229" s="2"/>
      <c r="I229" s="2"/>
      <c r="J229" s="2"/>
      <c r="K229" s="2"/>
    </row>
    <row r="230" spans="1:11" ht="13.8" x14ac:dyDescent="0.3">
      <c r="A230" s="3"/>
      <c r="E230" s="2"/>
      <c r="F230" s="2"/>
      <c r="G230" s="2"/>
      <c r="H230" s="2"/>
      <c r="I230" s="2"/>
      <c r="J230" s="2"/>
      <c r="K230" s="2"/>
    </row>
    <row r="231" spans="1:11" ht="13.8" x14ac:dyDescent="0.3">
      <c r="A231" s="3"/>
      <c r="E231" s="2"/>
      <c r="F231" s="2"/>
      <c r="G231" s="2"/>
      <c r="H231" s="2"/>
      <c r="I231" s="2"/>
      <c r="J231" s="2"/>
      <c r="K231" s="2"/>
    </row>
    <row r="232" spans="1:11" ht="13.8" x14ac:dyDescent="0.3">
      <c r="A232" s="3"/>
      <c r="E232" s="2"/>
      <c r="F232" s="2"/>
      <c r="G232" s="2"/>
      <c r="H232" s="2"/>
      <c r="I232" s="2"/>
      <c r="J232" s="2"/>
      <c r="K232" s="2"/>
    </row>
    <row r="233" spans="1:11" ht="13.8" x14ac:dyDescent="0.3">
      <c r="A233" s="3"/>
      <c r="E233" s="2"/>
      <c r="F233" s="2"/>
      <c r="G233" s="2"/>
      <c r="H233" s="2"/>
      <c r="I233" s="2"/>
      <c r="J233" s="2"/>
      <c r="K233" s="2"/>
    </row>
    <row r="234" spans="1:11" ht="13.8" x14ac:dyDescent="0.3">
      <c r="A234" s="3"/>
      <c r="E234" s="2"/>
      <c r="F234" s="2"/>
      <c r="G234" s="2"/>
      <c r="H234" s="2"/>
      <c r="I234" s="2"/>
      <c r="J234" s="2"/>
      <c r="K234" s="2"/>
    </row>
    <row r="235" spans="1:11" ht="13.8" x14ac:dyDescent="0.3">
      <c r="A235" s="3"/>
      <c r="E235" s="2"/>
      <c r="F235" s="2"/>
      <c r="G235" s="2"/>
      <c r="H235" s="2"/>
      <c r="I235" s="2"/>
      <c r="J235" s="2"/>
      <c r="K235" s="2"/>
    </row>
    <row r="236" spans="1:11" ht="13.8" x14ac:dyDescent="0.3">
      <c r="A236" s="3"/>
      <c r="E236" s="2"/>
      <c r="F236" s="2"/>
      <c r="G236" s="2"/>
      <c r="H236" s="2"/>
      <c r="I236" s="2"/>
      <c r="J236" s="2"/>
      <c r="K236" s="2"/>
    </row>
    <row r="237" spans="1:11" ht="13.8" x14ac:dyDescent="0.3">
      <c r="A237" s="3"/>
      <c r="E237" s="2"/>
      <c r="F237" s="2"/>
      <c r="G237" s="2"/>
      <c r="H237" s="2"/>
      <c r="I237" s="2"/>
      <c r="J237" s="2"/>
      <c r="K237" s="2"/>
    </row>
    <row r="238" spans="1:11" ht="13.8" x14ac:dyDescent="0.3">
      <c r="A238" s="3"/>
      <c r="E238" s="2"/>
      <c r="F238" s="2"/>
      <c r="G238" s="2"/>
      <c r="H238" s="2"/>
      <c r="I238" s="2"/>
      <c r="J238" s="2"/>
      <c r="K238" s="2"/>
    </row>
    <row r="239" spans="1:11" ht="13.8" x14ac:dyDescent="0.3">
      <c r="A239" s="3"/>
      <c r="E239" s="2"/>
      <c r="F239" s="2"/>
      <c r="G239" s="2"/>
      <c r="H239" s="2"/>
      <c r="I239" s="2"/>
      <c r="J239" s="2"/>
      <c r="K239" s="2"/>
    </row>
    <row r="240" spans="1:11" ht="13.8" x14ac:dyDescent="0.3">
      <c r="A240" s="3"/>
      <c r="E240" s="2"/>
      <c r="F240" s="2"/>
      <c r="G240" s="2"/>
      <c r="H240" s="2"/>
      <c r="I240" s="2"/>
      <c r="J240" s="2"/>
      <c r="K240" s="2"/>
    </row>
    <row r="241" spans="1:11" ht="13.8" x14ac:dyDescent="0.3">
      <c r="A241" s="3"/>
      <c r="E241" s="2"/>
      <c r="F241" s="2"/>
      <c r="G241" s="2"/>
      <c r="H241" s="2"/>
      <c r="I241" s="2"/>
      <c r="J241" s="2"/>
      <c r="K241" s="2"/>
    </row>
    <row r="242" spans="1:11" ht="13.8" x14ac:dyDescent="0.3">
      <c r="A242" s="3"/>
      <c r="E242" s="2"/>
      <c r="F242" s="2"/>
      <c r="G242" s="2"/>
      <c r="H242" s="2"/>
      <c r="I242" s="2"/>
      <c r="J242" s="2"/>
      <c r="K242" s="2"/>
    </row>
    <row r="243" spans="1:11" ht="13.8" x14ac:dyDescent="0.3">
      <c r="A243" s="3"/>
      <c r="E243" s="2"/>
      <c r="F243" s="2"/>
      <c r="G243" s="2"/>
      <c r="H243" s="2"/>
      <c r="I243" s="2"/>
      <c r="J243" s="2"/>
      <c r="K243" s="2"/>
    </row>
    <row r="244" spans="1:11" ht="13.8" x14ac:dyDescent="0.3">
      <c r="A244" s="3"/>
      <c r="E244" s="2"/>
      <c r="F244" s="2"/>
      <c r="G244" s="2"/>
      <c r="H244" s="2"/>
      <c r="I244" s="2"/>
      <c r="J244" s="2"/>
      <c r="K244" s="2"/>
    </row>
    <row r="245" spans="1:11" ht="13.8" x14ac:dyDescent="0.3">
      <c r="A245" s="3"/>
      <c r="E245" s="2"/>
      <c r="F245" s="2"/>
      <c r="G245" s="2"/>
      <c r="H245" s="2"/>
      <c r="I245" s="2"/>
      <c r="J245" s="2"/>
      <c r="K245" s="2"/>
    </row>
    <row r="246" spans="1:11" ht="13.8" x14ac:dyDescent="0.3">
      <c r="A246" s="3"/>
      <c r="E246" s="2"/>
      <c r="F246" s="2"/>
      <c r="G246" s="2"/>
      <c r="H246" s="2"/>
      <c r="I246" s="2"/>
      <c r="J246" s="2"/>
      <c r="K246" s="2"/>
    </row>
    <row r="247" spans="1:11" ht="13.8" x14ac:dyDescent="0.3">
      <c r="A247" s="3"/>
      <c r="E247" s="2"/>
      <c r="F247" s="2"/>
      <c r="G247" s="2"/>
      <c r="H247" s="2"/>
      <c r="I247" s="2"/>
      <c r="J247" s="2"/>
      <c r="K247" s="2"/>
    </row>
    <row r="248" spans="1:11" ht="13.8" x14ac:dyDescent="0.3">
      <c r="A248" s="3"/>
      <c r="E248" s="2"/>
      <c r="F248" s="2"/>
      <c r="G248" s="2"/>
      <c r="H248" s="2"/>
      <c r="I248" s="2"/>
      <c r="J248" s="2"/>
      <c r="K248" s="2"/>
    </row>
    <row r="249" spans="1:11" ht="13.8" x14ac:dyDescent="0.3">
      <c r="A249" s="3"/>
      <c r="E249" s="2"/>
      <c r="F249" s="2"/>
      <c r="G249" s="2"/>
      <c r="H249" s="2"/>
      <c r="I249" s="2"/>
      <c r="J249" s="2"/>
      <c r="K249" s="2"/>
    </row>
    <row r="250" spans="1:11" ht="13.8" x14ac:dyDescent="0.3">
      <c r="A250" s="3"/>
      <c r="E250" s="2"/>
      <c r="F250" s="2"/>
      <c r="G250" s="2"/>
      <c r="H250" s="2"/>
      <c r="I250" s="2"/>
      <c r="J250" s="2"/>
      <c r="K250" s="2"/>
    </row>
    <row r="251" spans="1:11" ht="13.8" x14ac:dyDescent="0.3">
      <c r="A251" s="3"/>
      <c r="E251" s="2"/>
      <c r="F251" s="2"/>
      <c r="G251" s="2"/>
      <c r="H251" s="2"/>
      <c r="I251" s="2"/>
      <c r="J251" s="2"/>
      <c r="K251" s="2"/>
    </row>
    <row r="252" spans="1:11" ht="13.8" x14ac:dyDescent="0.3">
      <c r="A252" s="3"/>
      <c r="E252" s="2"/>
      <c r="F252" s="2"/>
      <c r="G252" s="2"/>
      <c r="H252" s="2"/>
      <c r="I252" s="2"/>
      <c r="J252" s="2"/>
      <c r="K252" s="2"/>
    </row>
    <row r="253" spans="1:11" ht="13.8" x14ac:dyDescent="0.3">
      <c r="A253" s="3"/>
      <c r="E253" s="2"/>
      <c r="F253" s="2"/>
      <c r="G253" s="2"/>
      <c r="H253" s="2"/>
      <c r="I253" s="2"/>
      <c r="J253" s="2"/>
      <c r="K253" s="2"/>
    </row>
    <row r="254" spans="1:11" ht="13.8" x14ac:dyDescent="0.3">
      <c r="A254" s="3"/>
      <c r="E254" s="2"/>
      <c r="F254" s="2"/>
      <c r="G254" s="2"/>
      <c r="H254" s="2"/>
      <c r="I254" s="2"/>
      <c r="J254" s="2"/>
      <c r="K254" s="2"/>
    </row>
    <row r="255" spans="1:11" ht="13.8" x14ac:dyDescent="0.3">
      <c r="A255" s="3"/>
      <c r="E255" s="2"/>
      <c r="F255" s="2"/>
      <c r="G255" s="2"/>
      <c r="H255" s="2"/>
      <c r="I255" s="2"/>
      <c r="J255" s="2"/>
      <c r="K255" s="2"/>
    </row>
    <row r="256" spans="1:11" ht="13.8" x14ac:dyDescent="0.3">
      <c r="A256" s="3"/>
      <c r="E256" s="2"/>
      <c r="F256" s="2"/>
      <c r="G256" s="2"/>
      <c r="H256" s="2"/>
      <c r="I256" s="2"/>
      <c r="J256" s="2"/>
      <c r="K256" s="2"/>
    </row>
    <row r="257" spans="1:11" ht="13.8" x14ac:dyDescent="0.3">
      <c r="A257" s="3"/>
      <c r="E257" s="2"/>
      <c r="F257" s="2"/>
      <c r="G257" s="2"/>
      <c r="H257" s="2"/>
      <c r="I257" s="2"/>
      <c r="J257" s="2"/>
      <c r="K257" s="2"/>
    </row>
    <row r="258" spans="1:11" ht="13.8" x14ac:dyDescent="0.3">
      <c r="A258" s="3"/>
      <c r="E258" s="2"/>
      <c r="F258" s="2"/>
      <c r="G258" s="2"/>
      <c r="H258" s="2"/>
      <c r="I258" s="2"/>
      <c r="J258" s="2"/>
      <c r="K258" s="2"/>
    </row>
    <row r="259" spans="1:11" ht="13.8" x14ac:dyDescent="0.3">
      <c r="A259" s="3"/>
      <c r="E259" s="2"/>
      <c r="F259" s="2"/>
      <c r="G259" s="2"/>
      <c r="H259" s="2"/>
      <c r="I259" s="2"/>
      <c r="J259" s="2"/>
      <c r="K259" s="2"/>
    </row>
    <row r="260" spans="1:11" ht="13.8" x14ac:dyDescent="0.3">
      <c r="A260" s="3"/>
      <c r="E260" s="2"/>
      <c r="F260" s="2"/>
      <c r="G260" s="2"/>
      <c r="H260" s="2"/>
      <c r="I260" s="2"/>
      <c r="J260" s="2"/>
      <c r="K260" s="2"/>
    </row>
    <row r="261" spans="1:11" ht="13.8" x14ac:dyDescent="0.3">
      <c r="A261" s="3"/>
      <c r="E261" s="2"/>
      <c r="F261" s="2"/>
      <c r="G261" s="2"/>
      <c r="H261" s="2"/>
      <c r="I261" s="2"/>
      <c r="J261" s="2"/>
      <c r="K261" s="2"/>
    </row>
    <row r="262" spans="1:11" ht="13.8" x14ac:dyDescent="0.3">
      <c r="A262" s="3"/>
      <c r="E262" s="2"/>
      <c r="F262" s="2"/>
      <c r="G262" s="2"/>
      <c r="H262" s="2"/>
      <c r="I262" s="2"/>
      <c r="J262" s="2"/>
      <c r="K262" s="2"/>
    </row>
    <row r="263" spans="1:11" ht="13.8" x14ac:dyDescent="0.3">
      <c r="A263" s="3"/>
      <c r="E263" s="2"/>
      <c r="F263" s="2"/>
      <c r="G263" s="2"/>
      <c r="H263" s="2"/>
      <c r="I263" s="2"/>
      <c r="J263" s="2"/>
      <c r="K263" s="2"/>
    </row>
    <row r="264" spans="1:11" ht="13.8" x14ac:dyDescent="0.3">
      <c r="A264" s="3"/>
      <c r="E264" s="2"/>
      <c r="F264" s="2"/>
      <c r="G264" s="2"/>
      <c r="H264" s="2"/>
      <c r="I264" s="2"/>
      <c r="J264" s="2"/>
      <c r="K264" s="2"/>
    </row>
    <row r="265" spans="1:11" ht="13.8" x14ac:dyDescent="0.3">
      <c r="A265" s="3"/>
      <c r="E265" s="2"/>
      <c r="F265" s="2"/>
      <c r="G265" s="2"/>
      <c r="H265" s="2"/>
      <c r="I265" s="2"/>
      <c r="J265" s="2"/>
      <c r="K265" s="2"/>
    </row>
    <row r="266" spans="1:11" ht="13.8" x14ac:dyDescent="0.3">
      <c r="A266" s="3"/>
      <c r="E266" s="2"/>
      <c r="F266" s="2"/>
      <c r="G266" s="2"/>
      <c r="H266" s="2"/>
      <c r="I266" s="2"/>
      <c r="J266" s="2"/>
      <c r="K266" s="2"/>
    </row>
    <row r="267" spans="1:11" ht="13.8" x14ac:dyDescent="0.3">
      <c r="A267" s="3"/>
      <c r="E267" s="2"/>
      <c r="F267" s="2"/>
      <c r="G267" s="2"/>
      <c r="H267" s="2"/>
      <c r="I267" s="2"/>
      <c r="J267" s="2"/>
      <c r="K267" s="2"/>
    </row>
    <row r="268" spans="1:11" ht="13.8" x14ac:dyDescent="0.3">
      <c r="A268" s="3"/>
      <c r="E268" s="2"/>
      <c r="F268" s="2"/>
      <c r="G268" s="2"/>
      <c r="H268" s="2"/>
      <c r="I268" s="2"/>
      <c r="J268" s="2"/>
      <c r="K268" s="2"/>
    </row>
    <row r="269" spans="1:11" ht="13.8" x14ac:dyDescent="0.3">
      <c r="A269" s="3"/>
      <c r="E269" s="2"/>
      <c r="F269" s="2"/>
      <c r="G269" s="2"/>
      <c r="H269" s="2"/>
      <c r="I269" s="2"/>
      <c r="J269" s="2"/>
      <c r="K269" s="2"/>
    </row>
    <row r="270" spans="1:11" ht="13.8" x14ac:dyDescent="0.3">
      <c r="A270" s="3"/>
      <c r="E270" s="2"/>
      <c r="F270" s="2"/>
      <c r="G270" s="2"/>
      <c r="H270" s="2"/>
      <c r="I270" s="2"/>
      <c r="J270" s="2"/>
      <c r="K270" s="2"/>
    </row>
    <row r="271" spans="1:11" ht="13.8" x14ac:dyDescent="0.3">
      <c r="A271" s="3"/>
      <c r="E271" s="2"/>
      <c r="F271" s="2"/>
      <c r="G271" s="2"/>
      <c r="H271" s="2"/>
      <c r="I271" s="2"/>
      <c r="J271" s="2"/>
      <c r="K271" s="2"/>
    </row>
    <row r="272" spans="1:11" ht="13.8" x14ac:dyDescent="0.3">
      <c r="A272" s="3"/>
      <c r="E272" s="2"/>
      <c r="F272" s="2"/>
      <c r="G272" s="2"/>
      <c r="H272" s="2"/>
      <c r="I272" s="2"/>
      <c r="J272" s="2"/>
      <c r="K272" s="2"/>
    </row>
    <row r="273" spans="1:11" ht="13.8" x14ac:dyDescent="0.3">
      <c r="A273" s="3"/>
      <c r="E273" s="2"/>
      <c r="F273" s="2"/>
      <c r="G273" s="2"/>
      <c r="H273" s="2"/>
      <c r="I273" s="2"/>
      <c r="J273" s="2"/>
      <c r="K273" s="2"/>
    </row>
    <row r="274" spans="1:11" ht="13.8" x14ac:dyDescent="0.3">
      <c r="A274" s="3"/>
      <c r="E274" s="2"/>
      <c r="F274" s="2"/>
      <c r="G274" s="2"/>
      <c r="H274" s="2"/>
      <c r="I274" s="2"/>
      <c r="J274" s="2"/>
      <c r="K274" s="2"/>
    </row>
    <row r="275" spans="1:11" ht="13.8" x14ac:dyDescent="0.3">
      <c r="A275" s="3"/>
      <c r="E275" s="2"/>
      <c r="F275" s="2"/>
      <c r="G275" s="2"/>
      <c r="H275" s="2"/>
      <c r="I275" s="2"/>
      <c r="J275" s="2"/>
      <c r="K275" s="2"/>
    </row>
    <row r="276" spans="1:11" ht="13.8" x14ac:dyDescent="0.3">
      <c r="A276" s="3"/>
      <c r="E276" s="2"/>
      <c r="F276" s="2"/>
      <c r="G276" s="2"/>
      <c r="H276" s="2"/>
      <c r="I276" s="2"/>
      <c r="J276" s="2"/>
      <c r="K276" s="2"/>
    </row>
    <row r="277" spans="1:11" ht="13.8" x14ac:dyDescent="0.3">
      <c r="A277" s="3"/>
      <c r="E277" s="2"/>
      <c r="F277" s="2"/>
      <c r="G277" s="2"/>
      <c r="H277" s="2"/>
      <c r="I277" s="2"/>
      <c r="J277" s="2"/>
      <c r="K277" s="2"/>
    </row>
    <row r="278" spans="1:11" ht="13.8" x14ac:dyDescent="0.3">
      <c r="A278" s="3"/>
      <c r="E278" s="2"/>
      <c r="F278" s="2"/>
      <c r="G278" s="2"/>
      <c r="H278" s="2"/>
      <c r="I278" s="2"/>
      <c r="J278" s="2"/>
      <c r="K278" s="2"/>
    </row>
    <row r="279" spans="1:11" ht="13.8" x14ac:dyDescent="0.3">
      <c r="A279" s="3"/>
      <c r="E279" s="2"/>
      <c r="F279" s="2"/>
      <c r="G279" s="2"/>
      <c r="H279" s="2"/>
      <c r="I279" s="2"/>
      <c r="J279" s="2"/>
      <c r="K279" s="2"/>
    </row>
    <row r="280" spans="1:11" ht="13.8" x14ac:dyDescent="0.3">
      <c r="A280" s="3"/>
      <c r="E280" s="2"/>
      <c r="F280" s="2"/>
      <c r="G280" s="2"/>
      <c r="H280" s="2"/>
      <c r="I280" s="2"/>
      <c r="J280" s="2"/>
      <c r="K280" s="2"/>
    </row>
    <row r="281" spans="1:11" ht="13.8" x14ac:dyDescent="0.3">
      <c r="A281" s="3"/>
      <c r="E281" s="2"/>
      <c r="F281" s="2"/>
      <c r="G281" s="2"/>
      <c r="H281" s="2"/>
      <c r="I281" s="2"/>
      <c r="J281" s="2"/>
      <c r="K281" s="2"/>
    </row>
    <row r="282" spans="1:11" ht="13.8" x14ac:dyDescent="0.3">
      <c r="A282" s="3"/>
      <c r="E282" s="2"/>
      <c r="F282" s="2"/>
      <c r="G282" s="2"/>
      <c r="H282" s="2"/>
      <c r="I282" s="2"/>
      <c r="J282" s="2"/>
      <c r="K282" s="2"/>
    </row>
    <row r="283" spans="1:11" ht="13.8" x14ac:dyDescent="0.3">
      <c r="A283" s="3"/>
      <c r="E283" s="2"/>
      <c r="F283" s="2"/>
      <c r="G283" s="2"/>
      <c r="H283" s="2"/>
      <c r="I283" s="2"/>
      <c r="J283" s="2"/>
      <c r="K283" s="2"/>
    </row>
    <row r="284" spans="1:11" ht="13.8" x14ac:dyDescent="0.3">
      <c r="A284" s="3"/>
      <c r="E284" s="2"/>
      <c r="F284" s="2"/>
      <c r="G284" s="2"/>
      <c r="H284" s="2"/>
      <c r="I284" s="2"/>
      <c r="J284" s="2"/>
      <c r="K284" s="2"/>
    </row>
    <row r="285" spans="1:11" ht="13.8" x14ac:dyDescent="0.3">
      <c r="A285" s="3"/>
      <c r="E285" s="2"/>
      <c r="F285" s="2"/>
      <c r="G285" s="2"/>
      <c r="H285" s="2"/>
      <c r="I285" s="2"/>
      <c r="J285" s="2"/>
      <c r="K285" s="2"/>
    </row>
    <row r="286" spans="1:11" ht="13.8" x14ac:dyDescent="0.3">
      <c r="A286" s="3"/>
      <c r="E286" s="2"/>
      <c r="F286" s="2"/>
      <c r="G286" s="2"/>
      <c r="H286" s="2"/>
      <c r="I286" s="2"/>
      <c r="J286" s="2"/>
      <c r="K286" s="2"/>
    </row>
    <row r="287" spans="1:11" ht="13.8" x14ac:dyDescent="0.3">
      <c r="A287" s="3"/>
      <c r="E287" s="2"/>
      <c r="F287" s="2"/>
      <c r="G287" s="2"/>
      <c r="H287" s="2"/>
      <c r="I287" s="2"/>
      <c r="J287" s="2"/>
      <c r="K287" s="2"/>
    </row>
    <row r="288" spans="1:11" ht="13.8" x14ac:dyDescent="0.3">
      <c r="A288" s="3"/>
      <c r="E288" s="2"/>
      <c r="F288" s="2"/>
      <c r="G288" s="2"/>
      <c r="H288" s="2"/>
      <c r="I288" s="2"/>
      <c r="J288" s="2"/>
      <c r="K288" s="2"/>
    </row>
    <row r="289" spans="1:11" ht="13.8" x14ac:dyDescent="0.3">
      <c r="A289" s="3"/>
      <c r="E289" s="2"/>
      <c r="F289" s="2"/>
      <c r="G289" s="2"/>
      <c r="H289" s="2"/>
      <c r="I289" s="2"/>
      <c r="J289" s="2"/>
      <c r="K289" s="2"/>
    </row>
    <row r="290" spans="1:11" ht="13.8" x14ac:dyDescent="0.3">
      <c r="A290" s="3"/>
      <c r="E290" s="2"/>
      <c r="F290" s="2"/>
      <c r="G290" s="2"/>
      <c r="H290" s="2"/>
      <c r="I290" s="2"/>
      <c r="J290" s="2"/>
      <c r="K290" s="2"/>
    </row>
    <row r="291" spans="1:11" ht="13.8" x14ac:dyDescent="0.3">
      <c r="A291" s="3"/>
      <c r="E291" s="2"/>
      <c r="F291" s="2"/>
      <c r="G291" s="2"/>
      <c r="H291" s="2"/>
      <c r="I291" s="2"/>
      <c r="J291" s="2"/>
      <c r="K291" s="2"/>
    </row>
    <row r="292" spans="1:11" ht="13.8" x14ac:dyDescent="0.3">
      <c r="A292" s="3"/>
      <c r="E292" s="2"/>
      <c r="F292" s="2"/>
      <c r="G292" s="2"/>
      <c r="H292" s="2"/>
      <c r="I292" s="2"/>
      <c r="J292" s="2"/>
      <c r="K292" s="2"/>
    </row>
    <row r="293" spans="1:11" ht="13.8" x14ac:dyDescent="0.3">
      <c r="A293" s="3"/>
      <c r="E293" s="2"/>
      <c r="F293" s="2"/>
      <c r="G293" s="2"/>
      <c r="H293" s="2"/>
      <c r="I293" s="2"/>
      <c r="J293" s="2"/>
      <c r="K293" s="2"/>
    </row>
    <row r="294" spans="1:11" ht="13.8" x14ac:dyDescent="0.3">
      <c r="A294" s="3"/>
      <c r="E294" s="2"/>
      <c r="F294" s="2"/>
      <c r="G294" s="2"/>
      <c r="H294" s="2"/>
      <c r="I294" s="2"/>
      <c r="J294" s="2"/>
      <c r="K294" s="2"/>
    </row>
    <row r="295" spans="1:11" ht="13.8" x14ac:dyDescent="0.3">
      <c r="A295" s="3"/>
      <c r="E295" s="2"/>
      <c r="F295" s="2"/>
      <c r="G295" s="2"/>
      <c r="H295" s="2"/>
      <c r="I295" s="2"/>
      <c r="J295" s="2"/>
      <c r="K295" s="2"/>
    </row>
    <row r="296" spans="1:11" ht="13.8" x14ac:dyDescent="0.3">
      <c r="A296" s="3"/>
      <c r="E296" s="2"/>
      <c r="F296" s="2"/>
      <c r="G296" s="2"/>
      <c r="H296" s="2"/>
      <c r="I296" s="2"/>
      <c r="J296" s="2"/>
      <c r="K296" s="2"/>
    </row>
    <row r="297" spans="1:11" ht="13.8" x14ac:dyDescent="0.3">
      <c r="A297" s="3"/>
      <c r="E297" s="2"/>
      <c r="F297" s="2"/>
      <c r="G297" s="2"/>
      <c r="H297" s="2"/>
      <c r="I297" s="2"/>
      <c r="J297" s="2"/>
      <c r="K297" s="2"/>
    </row>
    <row r="298" spans="1:11" ht="13.8" x14ac:dyDescent="0.3">
      <c r="A298" s="3"/>
      <c r="E298" s="2"/>
      <c r="F298" s="2"/>
      <c r="G298" s="2"/>
      <c r="H298" s="2"/>
      <c r="I298" s="2"/>
      <c r="J298" s="2"/>
      <c r="K298" s="2"/>
    </row>
    <row r="299" spans="1:11" ht="13.8" x14ac:dyDescent="0.3">
      <c r="A299" s="3"/>
      <c r="E299" s="2"/>
      <c r="F299" s="2"/>
      <c r="G299" s="2"/>
      <c r="H299" s="2"/>
      <c r="I299" s="2"/>
      <c r="J299" s="2"/>
      <c r="K299" s="2"/>
    </row>
    <row r="300" spans="1:11" ht="13.8" x14ac:dyDescent="0.3">
      <c r="A300" s="3"/>
      <c r="E300" s="2"/>
      <c r="F300" s="2"/>
      <c r="G300" s="2"/>
      <c r="H300" s="2"/>
      <c r="I300" s="2"/>
      <c r="J300" s="2"/>
      <c r="K300" s="2"/>
    </row>
    <row r="301" spans="1:11" ht="13.8" x14ac:dyDescent="0.3">
      <c r="A301" s="3"/>
      <c r="E301" s="2"/>
      <c r="F301" s="2"/>
      <c r="G301" s="2"/>
      <c r="H301" s="2"/>
      <c r="I301" s="2"/>
      <c r="J301" s="2"/>
      <c r="K301" s="2"/>
    </row>
    <row r="302" spans="1:11" ht="13.8" x14ac:dyDescent="0.3">
      <c r="A302" s="3"/>
      <c r="E302" s="2"/>
      <c r="F302" s="2"/>
      <c r="G302" s="2"/>
      <c r="H302" s="2"/>
      <c r="I302" s="2"/>
      <c r="J302" s="2"/>
      <c r="K302" s="2"/>
    </row>
    <row r="303" spans="1:11" ht="13.8" x14ac:dyDescent="0.3">
      <c r="A303" s="3"/>
      <c r="E303" s="2"/>
      <c r="F303" s="2"/>
      <c r="G303" s="2"/>
      <c r="H303" s="2"/>
      <c r="I303" s="2"/>
      <c r="J303" s="2"/>
      <c r="K303" s="2"/>
    </row>
    <row r="304" spans="1:11" ht="13.8" x14ac:dyDescent="0.3">
      <c r="A304" s="3"/>
      <c r="E304" s="2"/>
      <c r="F304" s="2"/>
      <c r="G304" s="2"/>
      <c r="H304" s="2"/>
      <c r="I304" s="2"/>
      <c r="J304" s="2"/>
      <c r="K304" s="2"/>
    </row>
    <row r="305" spans="1:11" ht="13.8" x14ac:dyDescent="0.3">
      <c r="A305" s="3"/>
      <c r="E305" s="2"/>
      <c r="F305" s="2"/>
      <c r="G305" s="2"/>
      <c r="H305" s="2"/>
      <c r="I305" s="2"/>
      <c r="J305" s="2"/>
      <c r="K305" s="2"/>
    </row>
    <row r="306" spans="1:11" ht="13.8" x14ac:dyDescent="0.3">
      <c r="A306" s="3"/>
      <c r="E306" s="2"/>
      <c r="F306" s="2"/>
      <c r="G306" s="2"/>
      <c r="H306" s="2"/>
      <c r="I306" s="2"/>
      <c r="J306" s="2"/>
      <c r="K306" s="2"/>
    </row>
    <row r="307" spans="1:11" ht="13.8" x14ac:dyDescent="0.3">
      <c r="A307" s="3"/>
      <c r="E307" s="2"/>
      <c r="F307" s="2"/>
      <c r="G307" s="2"/>
      <c r="H307" s="2"/>
      <c r="I307" s="2"/>
      <c r="J307" s="2"/>
      <c r="K307" s="2"/>
    </row>
    <row r="308" spans="1:11" ht="13.8" x14ac:dyDescent="0.3">
      <c r="A308" s="3"/>
      <c r="E308" s="2"/>
      <c r="F308" s="2"/>
      <c r="G308" s="2"/>
      <c r="H308" s="2"/>
      <c r="I308" s="2"/>
      <c r="J308" s="2"/>
      <c r="K308" s="2"/>
    </row>
    <row r="309" spans="1:11" ht="13.8" x14ac:dyDescent="0.3">
      <c r="A309" s="3"/>
      <c r="E309" s="2"/>
      <c r="F309" s="2"/>
      <c r="G309" s="2"/>
      <c r="H309" s="2"/>
      <c r="I309" s="2"/>
      <c r="J309" s="2"/>
      <c r="K309" s="2"/>
    </row>
    <row r="310" spans="1:11" ht="13.8" x14ac:dyDescent="0.3">
      <c r="A310" s="3"/>
      <c r="E310" s="2"/>
      <c r="F310" s="2"/>
      <c r="G310" s="2"/>
      <c r="H310" s="2"/>
      <c r="I310" s="2"/>
      <c r="J310" s="2"/>
      <c r="K310" s="2"/>
    </row>
    <row r="311" spans="1:11" ht="13.8" x14ac:dyDescent="0.3">
      <c r="A311" s="3"/>
      <c r="E311" s="2"/>
      <c r="F311" s="2"/>
      <c r="G311" s="2"/>
      <c r="H311" s="2"/>
      <c r="I311" s="2"/>
      <c r="J311" s="2"/>
      <c r="K311" s="2"/>
    </row>
    <row r="312" spans="1:11" ht="13.8" x14ac:dyDescent="0.3">
      <c r="A312" s="3"/>
      <c r="E312" s="2"/>
      <c r="F312" s="2"/>
      <c r="G312" s="2"/>
      <c r="H312" s="2"/>
      <c r="I312" s="2"/>
      <c r="J312" s="2"/>
      <c r="K312" s="2"/>
    </row>
    <row r="313" spans="1:11" ht="13.8" x14ac:dyDescent="0.3">
      <c r="A313" s="3"/>
      <c r="E313" s="2"/>
      <c r="F313" s="2"/>
      <c r="G313" s="2"/>
      <c r="H313" s="2"/>
      <c r="I313" s="2"/>
      <c r="J313" s="2"/>
      <c r="K313" s="2"/>
    </row>
    <row r="314" spans="1:11" ht="13.8" x14ac:dyDescent="0.3">
      <c r="A314" s="3"/>
      <c r="E314" s="2"/>
      <c r="F314" s="2"/>
      <c r="G314" s="2"/>
      <c r="H314" s="2"/>
      <c r="I314" s="2"/>
      <c r="J314" s="2"/>
      <c r="K314" s="2"/>
    </row>
    <row r="315" spans="1:11" ht="13.8" x14ac:dyDescent="0.3">
      <c r="A315" s="3"/>
      <c r="E315" s="2"/>
      <c r="F315" s="2"/>
      <c r="G315" s="2"/>
      <c r="H315" s="2"/>
      <c r="I315" s="2"/>
      <c r="J315" s="2"/>
      <c r="K315" s="2"/>
    </row>
    <row r="316" spans="1:11" ht="13.8" x14ac:dyDescent="0.3">
      <c r="A316" s="3"/>
      <c r="E316" s="2"/>
      <c r="F316" s="2"/>
      <c r="G316" s="2"/>
      <c r="H316" s="2"/>
      <c r="I316" s="2"/>
      <c r="J316" s="2"/>
      <c r="K316" s="2"/>
    </row>
    <row r="317" spans="1:11" ht="13.8" x14ac:dyDescent="0.3">
      <c r="A317" s="3"/>
      <c r="E317" s="2"/>
      <c r="F317" s="2"/>
      <c r="G317" s="2"/>
      <c r="H317" s="2"/>
      <c r="I317" s="2"/>
      <c r="J317" s="2"/>
      <c r="K317" s="2"/>
    </row>
    <row r="318" spans="1:11" ht="13.8" x14ac:dyDescent="0.3">
      <c r="A318" s="3"/>
      <c r="E318" s="2"/>
      <c r="F318" s="2"/>
      <c r="G318" s="2"/>
      <c r="H318" s="2"/>
      <c r="I318" s="2"/>
      <c r="J318" s="2"/>
      <c r="K318" s="2"/>
    </row>
    <row r="319" spans="1:11" ht="13.8" x14ac:dyDescent="0.3">
      <c r="A319" s="3"/>
      <c r="E319" s="2"/>
      <c r="F319" s="2"/>
      <c r="G319" s="2"/>
      <c r="H319" s="2"/>
      <c r="I319" s="2"/>
      <c r="J319" s="2"/>
      <c r="K319" s="2"/>
    </row>
    <row r="320" spans="1:11" ht="13.8" x14ac:dyDescent="0.3">
      <c r="A320" s="3"/>
      <c r="E320" s="2"/>
      <c r="F320" s="2"/>
      <c r="G320" s="2"/>
      <c r="H320" s="2"/>
      <c r="I320" s="2"/>
      <c r="J320" s="2"/>
      <c r="K320" s="2"/>
    </row>
    <row r="321" spans="1:11" ht="13.8" x14ac:dyDescent="0.3">
      <c r="A321" s="3"/>
      <c r="E321" s="2"/>
      <c r="F321" s="2"/>
      <c r="G321" s="2"/>
      <c r="H321" s="2"/>
      <c r="I321" s="2"/>
      <c r="J321" s="2"/>
      <c r="K321" s="2"/>
    </row>
    <row r="322" spans="1:11" ht="13.8" x14ac:dyDescent="0.3">
      <c r="A322" s="3"/>
      <c r="E322" s="2"/>
      <c r="F322" s="2"/>
      <c r="G322" s="2"/>
      <c r="H322" s="2"/>
      <c r="I322" s="2"/>
      <c r="J322" s="2"/>
      <c r="K322" s="2"/>
    </row>
    <row r="323" spans="1:11" ht="13.8" x14ac:dyDescent="0.3">
      <c r="A323" s="3"/>
      <c r="E323" s="2"/>
      <c r="F323" s="2"/>
      <c r="G323" s="2"/>
      <c r="H323" s="2"/>
      <c r="I323" s="2"/>
      <c r="J323" s="2"/>
      <c r="K323" s="2"/>
    </row>
    <row r="324" spans="1:11" ht="13.8" x14ac:dyDescent="0.3">
      <c r="A324" s="3"/>
      <c r="E324" s="2"/>
      <c r="F324" s="2"/>
      <c r="G324" s="2"/>
      <c r="H324" s="2"/>
      <c r="I324" s="2"/>
      <c r="J324" s="2"/>
      <c r="K324" s="2"/>
    </row>
    <row r="325" spans="1:11" ht="13.8" x14ac:dyDescent="0.3">
      <c r="A325" s="3"/>
      <c r="E325" s="2"/>
      <c r="F325" s="2"/>
      <c r="G325" s="2"/>
      <c r="H325" s="2"/>
      <c r="I325" s="2"/>
      <c r="J325" s="2"/>
      <c r="K325" s="2"/>
    </row>
    <row r="326" spans="1:11" ht="13.8" x14ac:dyDescent="0.3">
      <c r="A326" s="3"/>
      <c r="E326" s="2"/>
      <c r="F326" s="2"/>
      <c r="G326" s="2"/>
      <c r="H326" s="2"/>
      <c r="I326" s="2"/>
      <c r="J326" s="2"/>
      <c r="K326" s="2"/>
    </row>
    <row r="327" spans="1:11" ht="13.8" x14ac:dyDescent="0.3">
      <c r="A327" s="3"/>
      <c r="E327" s="2"/>
      <c r="F327" s="2"/>
      <c r="G327" s="2"/>
      <c r="H327" s="2"/>
      <c r="I327" s="2"/>
      <c r="J327" s="2"/>
      <c r="K327" s="2"/>
    </row>
    <row r="328" spans="1:11" ht="13.8" x14ac:dyDescent="0.3">
      <c r="A328" s="3"/>
      <c r="E328" s="2"/>
      <c r="F328" s="2"/>
      <c r="G328" s="2"/>
      <c r="H328" s="2"/>
      <c r="I328" s="2"/>
      <c r="J328" s="2"/>
      <c r="K328" s="2"/>
    </row>
    <row r="329" spans="1:11" ht="13.8" x14ac:dyDescent="0.3">
      <c r="A329" s="3"/>
      <c r="E329" s="2"/>
      <c r="F329" s="2"/>
      <c r="G329" s="2"/>
      <c r="H329" s="2"/>
      <c r="I329" s="2"/>
      <c r="J329" s="2"/>
      <c r="K329" s="2"/>
    </row>
    <row r="330" spans="1:11" ht="13.8" x14ac:dyDescent="0.3">
      <c r="A330" s="3"/>
      <c r="E330" s="2"/>
      <c r="F330" s="2"/>
      <c r="G330" s="2"/>
      <c r="H330" s="2"/>
      <c r="I330" s="2"/>
      <c r="J330" s="2"/>
      <c r="K330" s="2"/>
    </row>
    <row r="331" spans="1:11" ht="13.8" x14ac:dyDescent="0.3">
      <c r="A331" s="3"/>
      <c r="E331" s="2"/>
      <c r="F331" s="2"/>
      <c r="G331" s="2"/>
      <c r="H331" s="2"/>
      <c r="I331" s="2"/>
      <c r="J331" s="2"/>
      <c r="K331" s="2"/>
    </row>
    <row r="332" spans="1:11" ht="13.8" x14ac:dyDescent="0.3">
      <c r="A332" s="3"/>
      <c r="E332" s="2"/>
      <c r="F332" s="2"/>
      <c r="G332" s="2"/>
      <c r="H332" s="2"/>
      <c r="I332" s="2"/>
      <c r="J332" s="2"/>
      <c r="K332" s="2"/>
    </row>
    <row r="333" spans="1:11" ht="13.8" x14ac:dyDescent="0.3">
      <c r="A333" s="3"/>
      <c r="E333" s="2"/>
      <c r="F333" s="2"/>
      <c r="G333" s="2"/>
      <c r="H333" s="2"/>
      <c r="I333" s="2"/>
      <c r="J333" s="2"/>
      <c r="K333" s="2"/>
    </row>
    <row r="334" spans="1:11" ht="13.8" x14ac:dyDescent="0.3">
      <c r="A334" s="3"/>
      <c r="E334" s="2"/>
      <c r="F334" s="2"/>
      <c r="G334" s="2"/>
      <c r="H334" s="2"/>
      <c r="I334" s="2"/>
      <c r="J334" s="2"/>
      <c r="K334" s="2"/>
    </row>
    <row r="335" spans="1:11" ht="13.8" x14ac:dyDescent="0.3">
      <c r="A335" s="3"/>
      <c r="E335" s="2"/>
      <c r="F335" s="2"/>
      <c r="G335" s="2"/>
      <c r="H335" s="2"/>
      <c r="I335" s="2"/>
      <c r="J335" s="2"/>
      <c r="K335" s="2"/>
    </row>
    <row r="336" spans="1:11" ht="13.8" x14ac:dyDescent="0.3">
      <c r="A336" s="3"/>
      <c r="E336" s="2"/>
      <c r="F336" s="2"/>
      <c r="G336" s="2"/>
      <c r="H336" s="2"/>
      <c r="I336" s="2"/>
      <c r="J336" s="2"/>
      <c r="K336" s="2"/>
    </row>
    <row r="337" spans="1:11" ht="13.8" x14ac:dyDescent="0.3">
      <c r="A337" s="3"/>
      <c r="E337" s="2"/>
      <c r="F337" s="2"/>
      <c r="G337" s="2"/>
      <c r="H337" s="2"/>
      <c r="I337" s="2"/>
      <c r="J337" s="2"/>
      <c r="K337" s="2"/>
    </row>
    <row r="338" spans="1:11" ht="13.8" x14ac:dyDescent="0.3">
      <c r="A338" s="3"/>
      <c r="E338" s="2"/>
      <c r="F338" s="2"/>
      <c r="G338" s="2"/>
      <c r="H338" s="2"/>
      <c r="I338" s="2"/>
      <c r="J338" s="2"/>
      <c r="K338" s="2"/>
    </row>
    <row r="339" spans="1:11" ht="13.8" x14ac:dyDescent="0.3">
      <c r="A339" s="3"/>
      <c r="E339" s="2"/>
      <c r="F339" s="2"/>
      <c r="G339" s="2"/>
      <c r="H339" s="2"/>
      <c r="I339" s="2"/>
      <c r="J339" s="2"/>
      <c r="K339" s="2"/>
    </row>
    <row r="340" spans="1:11" ht="13.8" x14ac:dyDescent="0.3">
      <c r="A340" s="3"/>
      <c r="E340" s="2"/>
      <c r="F340" s="2"/>
      <c r="G340" s="2"/>
      <c r="H340" s="2"/>
      <c r="I340" s="2"/>
      <c r="J340" s="2"/>
      <c r="K340" s="2"/>
    </row>
    <row r="341" spans="1:11" ht="13.8" x14ac:dyDescent="0.3">
      <c r="A341" s="3"/>
      <c r="E341" s="2"/>
      <c r="F341" s="2"/>
      <c r="G341" s="2"/>
      <c r="H341" s="2"/>
      <c r="I341" s="2"/>
      <c r="J341" s="2"/>
      <c r="K341" s="2"/>
    </row>
    <row r="342" spans="1:11" ht="13.8" x14ac:dyDescent="0.3">
      <c r="A342" s="3"/>
      <c r="E342" s="2"/>
      <c r="F342" s="2"/>
      <c r="G342" s="2"/>
      <c r="H342" s="2"/>
      <c r="I342" s="2"/>
      <c r="J342" s="2"/>
      <c r="K342" s="2"/>
    </row>
    <row r="343" spans="1:11" ht="13.8" x14ac:dyDescent="0.3">
      <c r="A343" s="3"/>
      <c r="E343" s="2"/>
      <c r="F343" s="2"/>
      <c r="G343" s="2"/>
      <c r="H343" s="2"/>
      <c r="I343" s="2"/>
      <c r="J343" s="2"/>
      <c r="K343" s="2"/>
    </row>
    <row r="344" spans="1:11" ht="13.8" x14ac:dyDescent="0.3">
      <c r="A344" s="3"/>
      <c r="E344" s="2"/>
      <c r="F344" s="2"/>
      <c r="G344" s="2"/>
      <c r="H344" s="2"/>
      <c r="I344" s="2"/>
      <c r="J344" s="2"/>
      <c r="K344" s="2"/>
    </row>
    <row r="345" spans="1:11" ht="13.8" x14ac:dyDescent="0.3">
      <c r="A345" s="3"/>
      <c r="E345" s="2"/>
      <c r="F345" s="2"/>
      <c r="G345" s="2"/>
      <c r="H345" s="2"/>
      <c r="I345" s="2"/>
      <c r="J345" s="2"/>
      <c r="K345" s="2"/>
    </row>
    <row r="346" spans="1:11" ht="13.8" x14ac:dyDescent="0.3">
      <c r="A346" s="3"/>
      <c r="E346" s="2"/>
      <c r="F346" s="2"/>
      <c r="G346" s="2"/>
      <c r="H346" s="2"/>
      <c r="I346" s="2"/>
      <c r="J346" s="2"/>
      <c r="K346" s="2"/>
    </row>
    <row r="347" spans="1:11" ht="13.8" x14ac:dyDescent="0.3">
      <c r="A347" s="3"/>
      <c r="E347" s="2"/>
      <c r="F347" s="2"/>
      <c r="G347" s="2"/>
      <c r="H347" s="2"/>
      <c r="I347" s="2"/>
      <c r="J347" s="2"/>
      <c r="K347" s="2"/>
    </row>
    <row r="348" spans="1:11" ht="13.8" x14ac:dyDescent="0.3">
      <c r="A348" s="3"/>
      <c r="E348" s="2"/>
      <c r="F348" s="2"/>
      <c r="G348" s="2"/>
      <c r="H348" s="2"/>
      <c r="I348" s="2"/>
      <c r="J348" s="2"/>
      <c r="K348" s="2"/>
    </row>
    <row r="349" spans="1:11" ht="13.8" x14ac:dyDescent="0.3">
      <c r="A349" s="3"/>
      <c r="E349" s="2"/>
      <c r="F349" s="2"/>
      <c r="G349" s="2"/>
      <c r="H349" s="2"/>
      <c r="I349" s="2"/>
      <c r="J349" s="2"/>
      <c r="K349" s="2"/>
    </row>
    <row r="350" spans="1:11" ht="13.8" x14ac:dyDescent="0.3">
      <c r="A350" s="3"/>
      <c r="E350" s="2"/>
      <c r="F350" s="2"/>
      <c r="G350" s="2"/>
      <c r="H350" s="2"/>
      <c r="I350" s="2"/>
      <c r="J350" s="2"/>
      <c r="K350" s="2"/>
    </row>
    <row r="351" spans="1:11" ht="13.8" x14ac:dyDescent="0.3">
      <c r="A351" s="3"/>
      <c r="E351" s="2"/>
      <c r="F351" s="2"/>
      <c r="G351" s="2"/>
      <c r="H351" s="2"/>
      <c r="I351" s="2"/>
      <c r="J351" s="2"/>
      <c r="K351" s="2"/>
    </row>
    <row r="352" spans="1:11" ht="13.8" x14ac:dyDescent="0.3">
      <c r="A352" s="3"/>
      <c r="E352" s="2"/>
      <c r="F352" s="2"/>
      <c r="G352" s="2"/>
      <c r="H352" s="2"/>
      <c r="I352" s="2"/>
      <c r="J352" s="2"/>
      <c r="K352" s="2"/>
    </row>
    <row r="353" spans="1:11" ht="13.8" x14ac:dyDescent="0.3">
      <c r="A353" s="3"/>
      <c r="E353" s="2"/>
      <c r="F353" s="2"/>
      <c r="G353" s="2"/>
      <c r="H353" s="2"/>
      <c r="I353" s="2"/>
      <c r="J353" s="2"/>
      <c r="K353" s="2"/>
    </row>
    <row r="354" spans="1:11" ht="13.8" x14ac:dyDescent="0.3">
      <c r="A354" s="3"/>
      <c r="E354" s="2"/>
      <c r="F354" s="2"/>
      <c r="G354" s="2"/>
      <c r="H354" s="2"/>
      <c r="I354" s="2"/>
      <c r="J354" s="2"/>
      <c r="K354" s="2"/>
    </row>
    <row r="355" spans="1:11" ht="13.8" x14ac:dyDescent="0.3">
      <c r="A355" s="3"/>
      <c r="E355" s="2"/>
      <c r="F355" s="2"/>
      <c r="G355" s="2"/>
      <c r="H355" s="2"/>
      <c r="I355" s="2"/>
      <c r="J355" s="2"/>
      <c r="K355" s="2"/>
    </row>
    <row r="356" spans="1:11" ht="13.8" x14ac:dyDescent="0.3">
      <c r="A356" s="3"/>
      <c r="E356" s="2"/>
      <c r="F356" s="2"/>
      <c r="G356" s="2"/>
      <c r="H356" s="2"/>
      <c r="I356" s="2"/>
      <c r="J356" s="2"/>
      <c r="K356" s="2"/>
    </row>
    <row r="357" spans="1:11" ht="13.8" x14ac:dyDescent="0.3">
      <c r="A357" s="3"/>
      <c r="E357" s="2"/>
      <c r="F357" s="2"/>
      <c r="G357" s="2"/>
      <c r="H357" s="2"/>
      <c r="I357" s="2"/>
      <c r="J357" s="2"/>
      <c r="K357" s="2"/>
    </row>
    <row r="358" spans="1:11" ht="13.8" x14ac:dyDescent="0.3">
      <c r="A358" s="3"/>
      <c r="E358" s="2"/>
      <c r="F358" s="2"/>
      <c r="G358" s="2"/>
      <c r="H358" s="2"/>
      <c r="I358" s="2"/>
      <c r="J358" s="2"/>
      <c r="K358" s="2"/>
    </row>
    <row r="359" spans="1:11" ht="13.8" x14ac:dyDescent="0.3">
      <c r="A359" s="3"/>
      <c r="E359" s="2"/>
      <c r="F359" s="2"/>
      <c r="G359" s="2"/>
      <c r="H359" s="2"/>
      <c r="I359" s="2"/>
      <c r="J359" s="2"/>
      <c r="K359" s="2"/>
    </row>
    <row r="360" spans="1:11" ht="13.8" x14ac:dyDescent="0.3">
      <c r="A360" s="3"/>
      <c r="E360" s="2"/>
      <c r="F360" s="2"/>
      <c r="G360" s="2"/>
      <c r="H360" s="2"/>
      <c r="I360" s="2"/>
      <c r="J360" s="2"/>
      <c r="K360" s="2"/>
    </row>
    <row r="361" spans="1:11" ht="13.8" x14ac:dyDescent="0.3">
      <c r="A361" s="3"/>
      <c r="E361" s="2"/>
      <c r="F361" s="2"/>
      <c r="G361" s="2"/>
      <c r="H361" s="2"/>
      <c r="I361" s="2"/>
      <c r="J361" s="2"/>
      <c r="K361" s="2"/>
    </row>
    <row r="362" spans="1:11" ht="13.8" x14ac:dyDescent="0.3">
      <c r="A362" s="3"/>
      <c r="E362" s="2"/>
      <c r="F362" s="2"/>
      <c r="G362" s="2"/>
      <c r="H362" s="2"/>
      <c r="I362" s="2"/>
      <c r="J362" s="2"/>
      <c r="K362" s="2"/>
    </row>
    <row r="363" spans="1:11" ht="13.8" x14ac:dyDescent="0.3">
      <c r="A363" s="3"/>
      <c r="E363" s="2"/>
      <c r="F363" s="2"/>
      <c r="G363" s="2"/>
      <c r="H363" s="2"/>
      <c r="I363" s="2"/>
      <c r="J363" s="2"/>
      <c r="K363" s="2"/>
    </row>
    <row r="364" spans="1:11" ht="13.8" x14ac:dyDescent="0.3">
      <c r="A364" s="3"/>
      <c r="E364" s="2"/>
      <c r="F364" s="2"/>
      <c r="G364" s="2"/>
      <c r="H364" s="2"/>
      <c r="I364" s="2"/>
      <c r="J364" s="2"/>
      <c r="K364" s="2"/>
    </row>
    <row r="365" spans="1:11" ht="13.8" x14ac:dyDescent="0.3">
      <c r="A365" s="3"/>
      <c r="E365" s="2"/>
      <c r="F365" s="2"/>
      <c r="G365" s="2"/>
      <c r="H365" s="2"/>
      <c r="I365" s="2"/>
      <c r="J365" s="2"/>
      <c r="K365" s="2"/>
    </row>
    <row r="366" spans="1:11" ht="13.8" x14ac:dyDescent="0.3">
      <c r="A366" s="3"/>
      <c r="E366" s="2"/>
      <c r="F366" s="2"/>
      <c r="G366" s="2"/>
      <c r="H366" s="2"/>
      <c r="I366" s="2"/>
      <c r="J366" s="2"/>
      <c r="K366" s="2"/>
    </row>
    <row r="367" spans="1:11" ht="13.8" x14ac:dyDescent="0.3">
      <c r="A367" s="3"/>
      <c r="E367" s="2"/>
      <c r="F367" s="2"/>
      <c r="G367" s="2"/>
      <c r="H367" s="2"/>
      <c r="I367" s="2"/>
      <c r="J367" s="2"/>
      <c r="K367" s="2"/>
    </row>
    <row r="368" spans="1:11" ht="13.8" x14ac:dyDescent="0.3">
      <c r="A368" s="3"/>
      <c r="E368" s="2"/>
      <c r="F368" s="2"/>
      <c r="G368" s="2"/>
      <c r="H368" s="2"/>
      <c r="I368" s="2"/>
      <c r="J368" s="2"/>
      <c r="K368" s="2"/>
    </row>
    <row r="369" spans="1:11" ht="13.8" x14ac:dyDescent="0.3">
      <c r="A369" s="3"/>
      <c r="E369" s="2"/>
      <c r="F369" s="2"/>
      <c r="G369" s="2"/>
      <c r="H369" s="2"/>
      <c r="I369" s="2"/>
      <c r="J369" s="2"/>
      <c r="K369" s="2"/>
    </row>
    <row r="370" spans="1:11" ht="13.8" x14ac:dyDescent="0.3">
      <c r="A370" s="3"/>
      <c r="E370" s="2"/>
      <c r="F370" s="2"/>
      <c r="G370" s="2"/>
      <c r="H370" s="2"/>
      <c r="I370" s="2"/>
      <c r="J370" s="2"/>
      <c r="K370" s="2"/>
    </row>
    <row r="371" spans="1:11" ht="13.8" x14ac:dyDescent="0.3">
      <c r="A371" s="3"/>
      <c r="E371" s="2"/>
      <c r="F371" s="2"/>
      <c r="G371" s="2"/>
      <c r="H371" s="2"/>
      <c r="I371" s="2"/>
      <c r="J371" s="2"/>
      <c r="K371" s="2"/>
    </row>
    <row r="372" spans="1:11" ht="13.8" x14ac:dyDescent="0.3">
      <c r="A372" s="3"/>
      <c r="E372" s="2"/>
      <c r="F372" s="2"/>
      <c r="G372" s="2"/>
      <c r="H372" s="2"/>
      <c r="I372" s="2"/>
      <c r="J372" s="2"/>
      <c r="K372" s="2"/>
    </row>
    <row r="373" spans="1:11" ht="13.8" x14ac:dyDescent="0.3">
      <c r="A373" s="3"/>
      <c r="E373" s="2"/>
      <c r="F373" s="2"/>
      <c r="G373" s="2"/>
      <c r="H373" s="2"/>
      <c r="I373" s="2"/>
      <c r="J373" s="2"/>
      <c r="K373" s="2"/>
    </row>
    <row r="374" spans="1:11" ht="13.8" x14ac:dyDescent="0.3">
      <c r="A374" s="3"/>
      <c r="E374" s="2"/>
      <c r="F374" s="2"/>
      <c r="G374" s="2"/>
      <c r="H374" s="2"/>
      <c r="I374" s="2"/>
      <c r="J374" s="2"/>
      <c r="K374" s="2"/>
    </row>
    <row r="375" spans="1:11" ht="13.8" x14ac:dyDescent="0.3">
      <c r="A375" s="3"/>
      <c r="E375" s="2"/>
      <c r="F375" s="2"/>
      <c r="G375" s="2"/>
      <c r="H375" s="2"/>
      <c r="I375" s="2"/>
      <c r="J375" s="2"/>
      <c r="K375" s="2"/>
    </row>
    <row r="376" spans="1:11" ht="13.8" x14ac:dyDescent="0.3">
      <c r="A376" s="3"/>
      <c r="E376" s="2"/>
      <c r="F376" s="2"/>
      <c r="G376" s="2"/>
      <c r="H376" s="2"/>
      <c r="I376" s="2"/>
      <c r="J376" s="2"/>
      <c r="K376" s="2"/>
    </row>
    <row r="377" spans="1:11" ht="13.8" x14ac:dyDescent="0.3">
      <c r="A377" s="3"/>
      <c r="E377" s="2"/>
      <c r="F377" s="2"/>
      <c r="G377" s="2"/>
      <c r="H377" s="2"/>
      <c r="I377" s="2"/>
      <c r="J377" s="2"/>
      <c r="K377" s="2"/>
    </row>
    <row r="378" spans="1:11" ht="13.8" x14ac:dyDescent="0.3">
      <c r="A378" s="3"/>
      <c r="E378" s="2"/>
      <c r="F378" s="2"/>
      <c r="G378" s="2"/>
      <c r="H378" s="2"/>
      <c r="I378" s="2"/>
      <c r="J378" s="2"/>
      <c r="K378" s="2"/>
    </row>
    <row r="379" spans="1:11" ht="13.8" x14ac:dyDescent="0.3">
      <c r="A379" s="3"/>
      <c r="E379" s="2"/>
      <c r="F379" s="2"/>
      <c r="G379" s="2"/>
      <c r="H379" s="2"/>
      <c r="I379" s="2"/>
      <c r="J379" s="2"/>
      <c r="K379" s="2"/>
    </row>
    <row r="380" spans="1:11" ht="13.8" x14ac:dyDescent="0.3">
      <c r="A380" s="3"/>
      <c r="E380" s="2"/>
      <c r="F380" s="2"/>
      <c r="G380" s="2"/>
      <c r="H380" s="2"/>
      <c r="I380" s="2"/>
      <c r="J380" s="2"/>
      <c r="K380" s="2"/>
    </row>
    <row r="381" spans="1:11" ht="13.8" x14ac:dyDescent="0.3">
      <c r="A381" s="3"/>
      <c r="E381" s="2"/>
      <c r="F381" s="2"/>
      <c r="G381" s="2"/>
      <c r="H381" s="2"/>
      <c r="I381" s="2"/>
      <c r="J381" s="2"/>
      <c r="K381" s="2"/>
    </row>
    <row r="382" spans="1:11" ht="13.8" x14ac:dyDescent="0.3">
      <c r="A382" s="3"/>
      <c r="E382" s="2"/>
      <c r="F382" s="2"/>
      <c r="G382" s="2"/>
      <c r="H382" s="2"/>
      <c r="I382" s="2"/>
      <c r="J382" s="2"/>
      <c r="K382" s="2"/>
    </row>
    <row r="383" spans="1:11" ht="13.8" x14ac:dyDescent="0.3">
      <c r="A383" s="3"/>
      <c r="E383" s="2"/>
      <c r="F383" s="2"/>
      <c r="G383" s="2"/>
      <c r="H383" s="2"/>
      <c r="I383" s="2"/>
      <c r="J383" s="2"/>
      <c r="K383" s="2"/>
    </row>
    <row r="384" spans="1:11" ht="13.8" x14ac:dyDescent="0.3">
      <c r="A384" s="3"/>
      <c r="E384" s="2"/>
      <c r="F384" s="2"/>
      <c r="G384" s="2"/>
      <c r="H384" s="2"/>
      <c r="I384" s="2"/>
      <c r="J384" s="2"/>
      <c r="K384" s="2"/>
    </row>
    <row r="385" spans="1:11" ht="13.8" x14ac:dyDescent="0.3">
      <c r="A385" s="3"/>
      <c r="E385" s="2"/>
      <c r="F385" s="2"/>
      <c r="G385" s="2"/>
      <c r="H385" s="2"/>
      <c r="I385" s="2"/>
      <c r="J385" s="2"/>
      <c r="K385" s="2"/>
    </row>
    <row r="386" spans="1:11" ht="13.8" x14ac:dyDescent="0.3">
      <c r="A386" s="3"/>
      <c r="E386" s="2"/>
      <c r="F386" s="2"/>
      <c r="G386" s="2"/>
      <c r="H386" s="2"/>
      <c r="I386" s="2"/>
      <c r="J386" s="2"/>
      <c r="K386" s="2"/>
    </row>
    <row r="387" spans="1:11" ht="13.8" x14ac:dyDescent="0.3">
      <c r="A387" s="3"/>
      <c r="E387" s="2"/>
      <c r="F387" s="2"/>
      <c r="G387" s="2"/>
      <c r="H387" s="2"/>
      <c r="I387" s="2"/>
      <c r="J387" s="2"/>
      <c r="K387" s="2"/>
    </row>
    <row r="388" spans="1:11" ht="13.8" x14ac:dyDescent="0.3">
      <c r="A388" s="3"/>
      <c r="E388" s="2"/>
      <c r="F388" s="2"/>
      <c r="G388" s="2"/>
      <c r="H388" s="2"/>
      <c r="I388" s="2"/>
      <c r="J388" s="2"/>
      <c r="K388" s="2"/>
    </row>
    <row r="389" spans="1:11" ht="13.8" x14ac:dyDescent="0.3">
      <c r="A389" s="3"/>
      <c r="E389" s="2"/>
      <c r="F389" s="2"/>
      <c r="G389" s="2"/>
      <c r="H389" s="2"/>
      <c r="I389" s="2"/>
      <c r="J389" s="2"/>
      <c r="K389" s="2"/>
    </row>
    <row r="390" spans="1:11" ht="13.8" x14ac:dyDescent="0.3">
      <c r="A390" s="3"/>
      <c r="E390" s="2"/>
      <c r="F390" s="2"/>
      <c r="G390" s="2"/>
      <c r="H390" s="2"/>
      <c r="I390" s="2"/>
      <c r="J390" s="2"/>
      <c r="K390" s="2"/>
    </row>
    <row r="391" spans="1:11" ht="13.8" x14ac:dyDescent="0.3">
      <c r="A391" s="3"/>
      <c r="E391" s="2"/>
      <c r="F391" s="2"/>
      <c r="G391" s="2"/>
      <c r="H391" s="2"/>
      <c r="I391" s="2"/>
      <c r="J391" s="2"/>
      <c r="K391" s="2"/>
    </row>
    <row r="392" spans="1:11" ht="13.8" x14ac:dyDescent="0.3">
      <c r="A392" s="3"/>
      <c r="E392" s="2"/>
      <c r="F392" s="2"/>
      <c r="G392" s="2"/>
      <c r="H392" s="2"/>
      <c r="I392" s="2"/>
      <c r="J392" s="2"/>
      <c r="K392" s="2"/>
    </row>
    <row r="393" spans="1:11" ht="13.8" x14ac:dyDescent="0.3">
      <c r="A393" s="3"/>
      <c r="E393" s="2"/>
      <c r="F393" s="2"/>
      <c r="G393" s="2"/>
      <c r="H393" s="2"/>
      <c r="I393" s="2"/>
      <c r="J393" s="2"/>
      <c r="K393" s="2"/>
    </row>
    <row r="394" spans="1:11" ht="13.8" x14ac:dyDescent="0.3">
      <c r="A394" s="3"/>
      <c r="E394" s="2"/>
      <c r="F394" s="2"/>
      <c r="G394" s="2"/>
      <c r="H394" s="2"/>
      <c r="I394" s="2"/>
      <c r="J394" s="2"/>
      <c r="K394" s="2"/>
    </row>
    <row r="395" spans="1:11" ht="13.8" x14ac:dyDescent="0.3">
      <c r="A395" s="3"/>
      <c r="E395" s="2"/>
      <c r="F395" s="2"/>
      <c r="G395" s="2"/>
      <c r="H395" s="2"/>
      <c r="I395" s="2"/>
      <c r="J395" s="2"/>
      <c r="K395" s="2"/>
    </row>
    <row r="396" spans="1:11" ht="13.8" x14ac:dyDescent="0.3">
      <c r="A396" s="3"/>
      <c r="E396" s="2"/>
      <c r="F396" s="2"/>
      <c r="G396" s="2"/>
      <c r="H396" s="2"/>
      <c r="I396" s="2"/>
      <c r="J396" s="2"/>
      <c r="K396" s="2"/>
    </row>
    <row r="397" spans="1:11" ht="13.8" x14ac:dyDescent="0.3">
      <c r="A397" s="3"/>
      <c r="E397" s="2"/>
      <c r="F397" s="2"/>
      <c r="G397" s="2"/>
      <c r="H397" s="2"/>
      <c r="I397" s="2"/>
      <c r="J397" s="2"/>
      <c r="K397" s="2"/>
    </row>
    <row r="398" spans="1:11" ht="13.8" x14ac:dyDescent="0.3">
      <c r="A398" s="3"/>
      <c r="E398" s="2"/>
      <c r="F398" s="2"/>
      <c r="G398" s="2"/>
      <c r="H398" s="2"/>
      <c r="I398" s="2"/>
      <c r="J398" s="2"/>
      <c r="K398" s="2"/>
    </row>
    <row r="399" spans="1:11" ht="13.8" x14ac:dyDescent="0.3">
      <c r="A399" s="3"/>
      <c r="E399" s="2"/>
      <c r="F399" s="2"/>
      <c r="G399" s="2"/>
      <c r="H399" s="2"/>
      <c r="I399" s="2"/>
      <c r="J399" s="2"/>
      <c r="K399" s="2"/>
    </row>
    <row r="400" spans="1:11" ht="13.8" x14ac:dyDescent="0.3">
      <c r="A400" s="3"/>
      <c r="E400" s="2"/>
      <c r="F400" s="2"/>
      <c r="G400" s="2"/>
      <c r="H400" s="2"/>
      <c r="I400" s="2"/>
      <c r="J400" s="2"/>
      <c r="K400" s="2"/>
    </row>
    <row r="401" spans="1:11" ht="13.8" x14ac:dyDescent="0.3">
      <c r="A401" s="3"/>
      <c r="E401" s="2"/>
      <c r="F401" s="2"/>
      <c r="G401" s="2"/>
      <c r="H401" s="2"/>
      <c r="I401" s="2"/>
      <c r="J401" s="2"/>
      <c r="K401" s="2"/>
    </row>
    <row r="402" spans="1:11" ht="13.8" x14ac:dyDescent="0.3">
      <c r="A402" s="3"/>
      <c r="E402" s="2"/>
      <c r="F402" s="2"/>
      <c r="G402" s="2"/>
      <c r="H402" s="2"/>
      <c r="I402" s="2"/>
      <c r="J402" s="2"/>
      <c r="K402" s="2"/>
    </row>
    <row r="403" spans="1:11" ht="13.8" x14ac:dyDescent="0.3">
      <c r="A403" s="3"/>
      <c r="E403" s="2"/>
      <c r="F403" s="2"/>
      <c r="G403" s="2"/>
      <c r="H403" s="2"/>
      <c r="I403" s="2"/>
      <c r="J403" s="2"/>
      <c r="K403" s="2"/>
    </row>
    <row r="404" spans="1:11" ht="13.8" x14ac:dyDescent="0.3">
      <c r="A404" s="3"/>
      <c r="E404" s="2"/>
      <c r="F404" s="2"/>
      <c r="G404" s="2"/>
      <c r="H404" s="2"/>
      <c r="I404" s="2"/>
      <c r="J404" s="2"/>
      <c r="K404" s="2"/>
    </row>
    <row r="405" spans="1:11" ht="13.8" x14ac:dyDescent="0.3">
      <c r="A405" s="3"/>
      <c r="E405" s="2"/>
      <c r="F405" s="2"/>
      <c r="G405" s="2"/>
      <c r="H405" s="2"/>
      <c r="I405" s="2"/>
      <c r="J405" s="2"/>
      <c r="K405" s="2"/>
    </row>
    <row r="406" spans="1:11" ht="13.8" x14ac:dyDescent="0.3">
      <c r="A406" s="3"/>
      <c r="E406" s="2"/>
      <c r="F406" s="2"/>
      <c r="G406" s="2"/>
      <c r="H406" s="2"/>
      <c r="I406" s="2"/>
      <c r="J406" s="2"/>
      <c r="K406" s="2"/>
    </row>
    <row r="407" spans="1:11" ht="13.8" x14ac:dyDescent="0.3">
      <c r="A407" s="3"/>
      <c r="E407" s="2"/>
      <c r="F407" s="2"/>
      <c r="G407" s="2"/>
      <c r="H407" s="2"/>
      <c r="I407" s="2"/>
      <c r="J407" s="2"/>
      <c r="K407" s="2"/>
    </row>
    <row r="408" spans="1:11" ht="13.8" x14ac:dyDescent="0.3">
      <c r="A408" s="3"/>
      <c r="E408" s="2"/>
      <c r="F408" s="2"/>
      <c r="G408" s="2"/>
      <c r="H408" s="2"/>
      <c r="I408" s="2"/>
      <c r="J408" s="2"/>
      <c r="K408" s="2"/>
    </row>
    <row r="409" spans="1:11" ht="13.8" x14ac:dyDescent="0.3">
      <c r="A409" s="3"/>
      <c r="E409" s="2"/>
      <c r="F409" s="2"/>
      <c r="G409" s="2"/>
      <c r="H409" s="2"/>
      <c r="I409" s="2"/>
      <c r="J409" s="2"/>
      <c r="K409" s="2"/>
    </row>
    <row r="410" spans="1:11" ht="13.8" x14ac:dyDescent="0.3">
      <c r="A410" s="3"/>
      <c r="E410" s="2"/>
      <c r="F410" s="2"/>
      <c r="G410" s="2"/>
      <c r="H410" s="2"/>
      <c r="I410" s="2"/>
      <c r="J410" s="2"/>
      <c r="K410" s="2"/>
    </row>
    <row r="411" spans="1:11" ht="13.8" x14ac:dyDescent="0.3">
      <c r="A411" s="3"/>
      <c r="E411" s="2"/>
      <c r="F411" s="2"/>
      <c r="G411" s="2"/>
      <c r="H411" s="2"/>
      <c r="I411" s="2"/>
      <c r="J411" s="2"/>
      <c r="K411" s="2"/>
    </row>
    <row r="412" spans="1:11" ht="13.8" x14ac:dyDescent="0.3">
      <c r="A412" s="3"/>
      <c r="E412" s="2"/>
      <c r="F412" s="2"/>
      <c r="G412" s="2"/>
      <c r="H412" s="2"/>
      <c r="I412" s="2"/>
      <c r="J412" s="2"/>
      <c r="K412" s="2"/>
    </row>
    <row r="413" spans="1:11" ht="13.8" x14ac:dyDescent="0.3">
      <c r="A413" s="3"/>
      <c r="E413" s="2"/>
      <c r="F413" s="2"/>
      <c r="G413" s="2"/>
      <c r="H413" s="2"/>
      <c r="I413" s="2"/>
      <c r="J413" s="2"/>
      <c r="K413" s="2"/>
    </row>
    <row r="414" spans="1:11" ht="13.8" x14ac:dyDescent="0.3">
      <c r="A414" s="3"/>
      <c r="E414" s="2"/>
      <c r="F414" s="2"/>
      <c r="G414" s="2"/>
      <c r="H414" s="2"/>
      <c r="I414" s="2"/>
      <c r="J414" s="2"/>
      <c r="K414" s="2"/>
    </row>
    <row r="415" spans="1:11" ht="13.8" x14ac:dyDescent="0.3">
      <c r="A415" s="3"/>
      <c r="E415" s="2"/>
      <c r="F415" s="2"/>
      <c r="G415" s="2"/>
      <c r="H415" s="2"/>
      <c r="I415" s="2"/>
      <c r="J415" s="2"/>
      <c r="K415" s="2"/>
    </row>
    <row r="416" spans="1:11" ht="13.8" x14ac:dyDescent="0.3">
      <c r="A416" s="3"/>
      <c r="E416" s="2"/>
      <c r="F416" s="2"/>
      <c r="G416" s="2"/>
      <c r="H416" s="2"/>
      <c r="I416" s="2"/>
      <c r="J416" s="2"/>
      <c r="K416" s="2"/>
    </row>
    <row r="417" spans="1:11" ht="13.8" x14ac:dyDescent="0.3">
      <c r="A417" s="3"/>
      <c r="E417" s="2"/>
      <c r="F417" s="2"/>
      <c r="G417" s="2"/>
      <c r="H417" s="2"/>
      <c r="I417" s="2"/>
      <c r="J417" s="2"/>
      <c r="K417" s="2"/>
    </row>
    <row r="418" spans="1:11" ht="13.8" x14ac:dyDescent="0.3">
      <c r="A418" s="3"/>
      <c r="E418" s="2"/>
      <c r="F418" s="2"/>
      <c r="G418" s="2"/>
      <c r="H418" s="2"/>
      <c r="I418" s="2"/>
      <c r="J418" s="2"/>
      <c r="K418" s="2"/>
    </row>
    <row r="419" spans="1:11" ht="13.8" x14ac:dyDescent="0.3">
      <c r="A419" s="3"/>
      <c r="E419" s="2"/>
      <c r="F419" s="2"/>
      <c r="G419" s="2"/>
      <c r="H419" s="2"/>
      <c r="I419" s="2"/>
      <c r="J419" s="2"/>
      <c r="K419" s="2"/>
    </row>
    <row r="420" spans="1:11" ht="13.8" x14ac:dyDescent="0.3">
      <c r="A420" s="3"/>
      <c r="E420" s="2"/>
      <c r="F420" s="2"/>
      <c r="G420" s="2"/>
      <c r="H420" s="2"/>
      <c r="I420" s="2"/>
      <c r="J420" s="2"/>
      <c r="K420" s="2"/>
    </row>
    <row r="421" spans="1:11" ht="13.8" x14ac:dyDescent="0.3">
      <c r="A421" s="3"/>
      <c r="E421" s="2"/>
      <c r="F421" s="2"/>
      <c r="G421" s="2"/>
      <c r="H421" s="2"/>
      <c r="I421" s="2"/>
      <c r="J421" s="2"/>
      <c r="K421" s="2"/>
    </row>
    <row r="422" spans="1:11" ht="13.8" x14ac:dyDescent="0.3">
      <c r="A422" s="3"/>
      <c r="E422" s="2"/>
      <c r="F422" s="2"/>
      <c r="G422" s="2"/>
      <c r="H422" s="2"/>
      <c r="I422" s="2"/>
      <c r="J422" s="2"/>
      <c r="K422" s="2"/>
    </row>
    <row r="423" spans="1:11" ht="13.8" x14ac:dyDescent="0.3">
      <c r="A423" s="3"/>
      <c r="E423" s="2"/>
      <c r="F423" s="2"/>
      <c r="G423" s="2"/>
      <c r="H423" s="2"/>
      <c r="I423" s="2"/>
      <c r="J423" s="2"/>
      <c r="K423" s="2"/>
    </row>
    <row r="424" spans="1:11" ht="13.8" x14ac:dyDescent="0.3">
      <c r="A424" s="3"/>
      <c r="E424" s="2"/>
      <c r="F424" s="2"/>
      <c r="G424" s="2"/>
      <c r="H424" s="2"/>
      <c r="I424" s="2"/>
      <c r="J424" s="2"/>
      <c r="K424" s="2"/>
    </row>
    <row r="425" spans="1:11" ht="13.8" x14ac:dyDescent="0.3">
      <c r="A425" s="3"/>
      <c r="E425" s="2"/>
      <c r="F425" s="2"/>
      <c r="G425" s="2"/>
      <c r="H425" s="2"/>
      <c r="I425" s="2"/>
      <c r="J425" s="2"/>
      <c r="K425" s="2"/>
    </row>
    <row r="426" spans="1:11" ht="13.8" x14ac:dyDescent="0.3">
      <c r="A426" s="3"/>
      <c r="E426" s="2"/>
      <c r="F426" s="2"/>
      <c r="G426" s="2"/>
      <c r="H426" s="2"/>
      <c r="I426" s="2"/>
      <c r="J426" s="2"/>
      <c r="K426" s="2"/>
    </row>
    <row r="427" spans="1:11" ht="13.8" x14ac:dyDescent="0.3">
      <c r="A427" s="3"/>
      <c r="E427" s="2"/>
      <c r="F427" s="2"/>
      <c r="G427" s="2"/>
      <c r="H427" s="2"/>
      <c r="I427" s="2"/>
      <c r="J427" s="2"/>
      <c r="K427" s="2"/>
    </row>
    <row r="428" spans="1:11" ht="13.8" x14ac:dyDescent="0.3">
      <c r="A428" s="3"/>
      <c r="E428" s="2"/>
      <c r="F428" s="2"/>
      <c r="G428" s="2"/>
      <c r="H428" s="2"/>
      <c r="I428" s="2"/>
      <c r="J428" s="2"/>
      <c r="K428" s="2"/>
    </row>
    <row r="429" spans="1:11" ht="13.8" x14ac:dyDescent="0.3">
      <c r="A429" s="3"/>
      <c r="E429" s="2"/>
      <c r="F429" s="2"/>
      <c r="G429" s="2"/>
      <c r="H429" s="2"/>
      <c r="I429" s="2"/>
      <c r="J429" s="2"/>
      <c r="K429" s="2"/>
    </row>
    <row r="430" spans="1:11" ht="13.8" x14ac:dyDescent="0.3">
      <c r="A430" s="3"/>
      <c r="E430" s="2"/>
      <c r="F430" s="2"/>
      <c r="G430" s="2"/>
      <c r="H430" s="2"/>
      <c r="I430" s="2"/>
      <c r="J430" s="2"/>
      <c r="K430" s="2"/>
    </row>
    <row r="431" spans="1:11" ht="13.8" x14ac:dyDescent="0.3">
      <c r="A431" s="3"/>
      <c r="E431" s="2"/>
      <c r="F431" s="2"/>
      <c r="G431" s="2"/>
      <c r="H431" s="2"/>
      <c r="I431" s="2"/>
      <c r="J431" s="2"/>
      <c r="K431" s="2"/>
    </row>
    <row r="432" spans="1:11" ht="13.8" x14ac:dyDescent="0.3">
      <c r="A432" s="3"/>
      <c r="E432" s="2"/>
      <c r="F432" s="2"/>
      <c r="G432" s="2"/>
      <c r="H432" s="2"/>
      <c r="I432" s="2"/>
      <c r="J432" s="2"/>
      <c r="K432" s="2"/>
    </row>
    <row r="433" spans="1:11" ht="13.8" x14ac:dyDescent="0.3">
      <c r="A433" s="3"/>
      <c r="E433" s="2"/>
      <c r="F433" s="2"/>
      <c r="G433" s="2"/>
      <c r="H433" s="2"/>
      <c r="I433" s="2"/>
      <c r="J433" s="2"/>
      <c r="K433" s="2"/>
    </row>
    <row r="434" spans="1:11" ht="13.8" x14ac:dyDescent="0.3">
      <c r="A434" s="3"/>
      <c r="E434" s="2"/>
      <c r="F434" s="2"/>
      <c r="G434" s="2"/>
      <c r="H434" s="2"/>
      <c r="I434" s="2"/>
      <c r="J434" s="2"/>
      <c r="K434" s="2"/>
    </row>
    <row r="435" spans="1:11" ht="13.8" x14ac:dyDescent="0.3">
      <c r="A435" s="3"/>
      <c r="E435" s="2"/>
      <c r="F435" s="2"/>
      <c r="G435" s="2"/>
      <c r="H435" s="2"/>
      <c r="I435" s="2"/>
      <c r="J435" s="2"/>
      <c r="K435" s="2"/>
    </row>
    <row r="436" spans="1:11" ht="13.8" x14ac:dyDescent="0.3">
      <c r="A436" s="3"/>
      <c r="E436" s="2"/>
      <c r="F436" s="2"/>
      <c r="G436" s="2"/>
      <c r="H436" s="2"/>
      <c r="I436" s="2"/>
      <c r="J436" s="2"/>
      <c r="K436" s="2"/>
    </row>
    <row r="437" spans="1:11" ht="13.8" x14ac:dyDescent="0.3">
      <c r="A437" s="3"/>
      <c r="E437" s="2"/>
      <c r="F437" s="2"/>
      <c r="G437" s="2"/>
      <c r="H437" s="2"/>
      <c r="I437" s="2"/>
      <c r="J437" s="2"/>
      <c r="K437" s="2"/>
    </row>
    <row r="438" spans="1:11" ht="13.8" x14ac:dyDescent="0.3">
      <c r="A438" s="3"/>
      <c r="E438" s="2"/>
      <c r="F438" s="2"/>
      <c r="G438" s="2"/>
      <c r="H438" s="2"/>
      <c r="I438" s="2"/>
      <c r="J438" s="2"/>
      <c r="K438" s="2"/>
    </row>
    <row r="439" spans="1:11" ht="13.8" x14ac:dyDescent="0.3">
      <c r="A439" s="3"/>
      <c r="E439" s="2"/>
      <c r="F439" s="2"/>
      <c r="G439" s="2"/>
      <c r="H439" s="2"/>
      <c r="I439" s="2"/>
      <c r="J439" s="2"/>
      <c r="K439" s="2"/>
    </row>
    <row r="440" spans="1:11" ht="13.8" x14ac:dyDescent="0.3">
      <c r="A440" s="3"/>
      <c r="E440" s="2"/>
      <c r="F440" s="2"/>
      <c r="G440" s="2"/>
      <c r="H440" s="2"/>
      <c r="I440" s="2"/>
      <c r="J440" s="2"/>
      <c r="K440" s="2"/>
    </row>
    <row r="441" spans="1:11" ht="13.8" x14ac:dyDescent="0.3">
      <c r="A441" s="3"/>
      <c r="E441" s="2"/>
      <c r="F441" s="2"/>
      <c r="G441" s="2"/>
      <c r="H441" s="2"/>
      <c r="I441" s="2"/>
      <c r="J441" s="2"/>
      <c r="K441" s="2"/>
    </row>
    <row r="442" spans="1:11" ht="13.8" x14ac:dyDescent="0.3">
      <c r="A442" s="3"/>
      <c r="E442" s="2"/>
      <c r="F442" s="2"/>
      <c r="G442" s="2"/>
      <c r="H442" s="2"/>
      <c r="I442" s="2"/>
      <c r="J442" s="2"/>
      <c r="K442" s="2"/>
    </row>
    <row r="443" spans="1:11" ht="13.8" x14ac:dyDescent="0.3">
      <c r="A443" s="3"/>
      <c r="E443" s="2"/>
      <c r="F443" s="2"/>
      <c r="G443" s="2"/>
      <c r="H443" s="2"/>
      <c r="I443" s="2"/>
      <c r="J443" s="2"/>
      <c r="K443" s="2"/>
    </row>
    <row r="444" spans="1:11" ht="13.8" x14ac:dyDescent="0.3">
      <c r="A444" s="3"/>
      <c r="E444" s="2"/>
      <c r="F444" s="2"/>
      <c r="G444" s="2"/>
      <c r="H444" s="2"/>
      <c r="I444" s="2"/>
      <c r="J444" s="2"/>
      <c r="K444" s="2"/>
    </row>
    <row r="445" spans="1:11" ht="13.8" x14ac:dyDescent="0.3">
      <c r="A445" s="3"/>
      <c r="E445" s="2"/>
      <c r="F445" s="2"/>
      <c r="G445" s="2"/>
      <c r="H445" s="2"/>
      <c r="I445" s="2"/>
      <c r="J445" s="2"/>
      <c r="K445" s="2"/>
    </row>
    <row r="446" spans="1:11" ht="13.8" x14ac:dyDescent="0.3">
      <c r="A446" s="3"/>
      <c r="E446" s="2"/>
      <c r="F446" s="2"/>
      <c r="G446" s="2"/>
      <c r="H446" s="2"/>
      <c r="I446" s="2"/>
      <c r="J446" s="2"/>
      <c r="K446" s="2"/>
    </row>
    <row r="447" spans="1:11" ht="13.8" x14ac:dyDescent="0.3">
      <c r="A447" s="3"/>
      <c r="E447" s="2"/>
      <c r="F447" s="2"/>
      <c r="G447" s="2"/>
      <c r="H447" s="2"/>
      <c r="I447" s="2"/>
      <c r="J447" s="2"/>
      <c r="K447" s="2"/>
    </row>
    <row r="448" spans="1:11" ht="13.8" x14ac:dyDescent="0.3">
      <c r="A448" s="3"/>
      <c r="E448" s="2"/>
      <c r="F448" s="2"/>
      <c r="G448" s="2"/>
      <c r="H448" s="2"/>
      <c r="I448" s="2"/>
      <c r="J448" s="2"/>
      <c r="K448" s="2"/>
    </row>
    <row r="449" spans="1:11" ht="13.8" x14ac:dyDescent="0.3">
      <c r="A449" s="3"/>
      <c r="E449" s="2"/>
      <c r="F449" s="2"/>
      <c r="G449" s="2"/>
      <c r="H449" s="2"/>
      <c r="I449" s="2"/>
      <c r="J449" s="2"/>
      <c r="K449" s="2"/>
    </row>
    <row r="450" spans="1:11" ht="13.8" x14ac:dyDescent="0.3">
      <c r="A450" s="3"/>
      <c r="E450" s="2"/>
      <c r="F450" s="2"/>
      <c r="G450" s="2"/>
      <c r="H450" s="2"/>
      <c r="I450" s="2"/>
      <c r="J450" s="2"/>
      <c r="K450" s="2"/>
    </row>
    <row r="451" spans="1:11" ht="13.8" x14ac:dyDescent="0.3">
      <c r="A451" s="3"/>
      <c r="E451" s="2"/>
      <c r="F451" s="2"/>
      <c r="G451" s="2"/>
      <c r="H451" s="2"/>
      <c r="I451" s="2"/>
      <c r="J451" s="2"/>
      <c r="K451" s="2"/>
    </row>
    <row r="452" spans="1:11" ht="13.8" x14ac:dyDescent="0.3">
      <c r="A452" s="3"/>
      <c r="E452" s="2"/>
      <c r="F452" s="2"/>
      <c r="G452" s="2"/>
      <c r="H452" s="2"/>
      <c r="I452" s="2"/>
      <c r="J452" s="2"/>
      <c r="K452" s="2"/>
    </row>
    <row r="453" spans="1:11" ht="13.8" x14ac:dyDescent="0.3">
      <c r="A453" s="3"/>
      <c r="E453" s="2"/>
      <c r="F453" s="2"/>
      <c r="G453" s="2"/>
      <c r="H453" s="2"/>
      <c r="I453" s="2"/>
      <c r="J453" s="2"/>
      <c r="K453" s="2"/>
    </row>
    <row r="454" spans="1:11" ht="13.8" x14ac:dyDescent="0.3">
      <c r="A454" s="3"/>
      <c r="E454" s="2"/>
      <c r="F454" s="2"/>
      <c r="G454" s="2"/>
      <c r="H454" s="2"/>
      <c r="I454" s="2"/>
      <c r="J454" s="2"/>
      <c r="K454" s="2"/>
    </row>
    <row r="455" spans="1:11" ht="13.8" x14ac:dyDescent="0.3">
      <c r="A455" s="3"/>
      <c r="E455" s="2"/>
      <c r="F455" s="2"/>
      <c r="G455" s="2"/>
      <c r="H455" s="2"/>
      <c r="I455" s="2"/>
      <c r="J455" s="2"/>
      <c r="K455" s="2"/>
    </row>
    <row r="456" spans="1:11" ht="13.8" x14ac:dyDescent="0.3">
      <c r="A456" s="3"/>
      <c r="E456" s="2"/>
      <c r="F456" s="2"/>
      <c r="G456" s="2"/>
      <c r="H456" s="2"/>
      <c r="I456" s="2"/>
      <c r="J456" s="2"/>
      <c r="K456" s="2"/>
    </row>
    <row r="457" spans="1:11" ht="13.8" x14ac:dyDescent="0.3">
      <c r="A457" s="3"/>
      <c r="E457" s="2"/>
      <c r="F457" s="2"/>
      <c r="G457" s="2"/>
      <c r="H457" s="2"/>
      <c r="I457" s="2"/>
      <c r="J457" s="2"/>
      <c r="K457" s="2"/>
    </row>
    <row r="458" spans="1:11" ht="13.8" x14ac:dyDescent="0.3">
      <c r="A458" s="3"/>
      <c r="E458" s="2"/>
      <c r="F458" s="2"/>
      <c r="G458" s="2"/>
      <c r="H458" s="2"/>
      <c r="I458" s="2"/>
      <c r="J458" s="2"/>
      <c r="K458" s="2"/>
    </row>
    <row r="459" spans="1:11" ht="13.8" x14ac:dyDescent="0.3">
      <c r="A459" s="3"/>
      <c r="E459" s="2"/>
      <c r="F459" s="2"/>
      <c r="G459" s="2"/>
      <c r="H459" s="2"/>
      <c r="I459" s="2"/>
      <c r="J459" s="2"/>
      <c r="K459" s="2"/>
    </row>
    <row r="460" spans="1:11" ht="13.8" x14ac:dyDescent="0.3">
      <c r="A460" s="3"/>
      <c r="E460" s="2"/>
      <c r="F460" s="2"/>
      <c r="G460" s="2"/>
      <c r="H460" s="2"/>
      <c r="I460" s="2"/>
      <c r="J460" s="2"/>
      <c r="K460" s="2"/>
    </row>
    <row r="461" spans="1:11" ht="13.8" x14ac:dyDescent="0.3">
      <c r="A461" s="3"/>
      <c r="E461" s="2"/>
      <c r="F461" s="2"/>
      <c r="G461" s="2"/>
      <c r="H461" s="2"/>
      <c r="I461" s="2"/>
      <c r="J461" s="2"/>
      <c r="K461" s="2"/>
    </row>
    <row r="462" spans="1:11" ht="13.8" x14ac:dyDescent="0.3">
      <c r="A462" s="3"/>
      <c r="E462" s="2"/>
      <c r="F462" s="2"/>
      <c r="G462" s="2"/>
      <c r="H462" s="2"/>
      <c r="I462" s="2"/>
      <c r="J462" s="2"/>
      <c r="K462" s="2"/>
    </row>
    <row r="463" spans="1:11" ht="13.8" x14ac:dyDescent="0.3">
      <c r="A463" s="3"/>
      <c r="E463" s="2"/>
      <c r="F463" s="2"/>
      <c r="G463" s="2"/>
      <c r="H463" s="2"/>
      <c r="I463" s="2"/>
      <c r="J463" s="2"/>
      <c r="K463" s="2"/>
    </row>
    <row r="464" spans="1:11" ht="13.8" x14ac:dyDescent="0.3">
      <c r="A464" s="3"/>
      <c r="E464" s="2"/>
      <c r="F464" s="2"/>
      <c r="G464" s="2"/>
      <c r="H464" s="2"/>
      <c r="I464" s="2"/>
      <c r="J464" s="2"/>
      <c r="K464" s="2"/>
    </row>
    <row r="465" spans="1:11" ht="13.8" x14ac:dyDescent="0.3">
      <c r="A465" s="3"/>
      <c r="E465" s="2"/>
      <c r="F465" s="2"/>
      <c r="G465" s="2"/>
      <c r="H465" s="2"/>
      <c r="I465" s="2"/>
      <c r="J465" s="2"/>
      <c r="K465" s="2"/>
    </row>
    <row r="466" spans="1:11" ht="13.8" x14ac:dyDescent="0.3">
      <c r="A466" s="3"/>
      <c r="E466" s="2"/>
      <c r="F466" s="2"/>
      <c r="G466" s="2"/>
      <c r="H466" s="2"/>
      <c r="I466" s="2"/>
      <c r="J466" s="2"/>
      <c r="K466" s="2"/>
    </row>
    <row r="467" spans="1:11" ht="13.8" x14ac:dyDescent="0.3">
      <c r="A467" s="3"/>
      <c r="E467" s="2"/>
      <c r="F467" s="2"/>
      <c r="G467" s="2"/>
      <c r="H467" s="2"/>
      <c r="I467" s="2"/>
      <c r="J467" s="2"/>
      <c r="K467" s="2"/>
    </row>
    <row r="468" spans="1:11" ht="13.8" x14ac:dyDescent="0.3">
      <c r="A468" s="3"/>
      <c r="E468" s="2"/>
      <c r="F468" s="2"/>
      <c r="G468" s="2"/>
      <c r="H468" s="2"/>
      <c r="I468" s="2"/>
      <c r="J468" s="2"/>
      <c r="K468" s="2"/>
    </row>
    <row r="469" spans="1:11" ht="13.8" x14ac:dyDescent="0.3">
      <c r="A469" s="3"/>
      <c r="E469" s="2"/>
      <c r="F469" s="2"/>
      <c r="G469" s="2"/>
      <c r="H469" s="2"/>
      <c r="I469" s="2"/>
      <c r="J469" s="2"/>
      <c r="K469" s="2"/>
    </row>
    <row r="470" spans="1:11" ht="13.8" x14ac:dyDescent="0.3">
      <c r="A470" s="3"/>
      <c r="E470" s="2"/>
      <c r="F470" s="2"/>
      <c r="G470" s="2"/>
      <c r="H470" s="2"/>
      <c r="I470" s="2"/>
      <c r="J470" s="2"/>
      <c r="K470" s="2"/>
    </row>
    <row r="471" spans="1:11" ht="13.8" x14ac:dyDescent="0.3">
      <c r="A471" s="3"/>
      <c r="E471" s="2"/>
      <c r="F471" s="2"/>
      <c r="G471" s="2"/>
      <c r="H471" s="2"/>
      <c r="I471" s="2"/>
      <c r="J471" s="2"/>
      <c r="K471" s="2"/>
    </row>
    <row r="472" spans="1:11" ht="13.8" x14ac:dyDescent="0.3">
      <c r="A472" s="3"/>
      <c r="E472" s="2"/>
      <c r="F472" s="2"/>
      <c r="G472" s="2"/>
      <c r="H472" s="2"/>
      <c r="I472" s="2"/>
      <c r="J472" s="2"/>
      <c r="K472" s="2"/>
    </row>
    <row r="473" spans="1:11" ht="13.8" x14ac:dyDescent="0.3">
      <c r="A473" s="3"/>
      <c r="E473" s="2"/>
      <c r="F473" s="2"/>
      <c r="G473" s="2"/>
      <c r="H473" s="2"/>
      <c r="I473" s="2"/>
      <c r="J473" s="2"/>
      <c r="K473" s="2"/>
    </row>
    <row r="474" spans="1:11" ht="13.8" x14ac:dyDescent="0.3">
      <c r="A474" s="3"/>
      <c r="E474" s="2"/>
      <c r="F474" s="2"/>
      <c r="G474" s="2"/>
      <c r="H474" s="2"/>
      <c r="I474" s="2"/>
      <c r="J474" s="2"/>
      <c r="K474" s="2"/>
    </row>
    <row r="475" spans="1:11" ht="13.8" x14ac:dyDescent="0.3">
      <c r="A475" s="3"/>
      <c r="E475" s="2"/>
      <c r="F475" s="2"/>
      <c r="G475" s="2"/>
      <c r="H475" s="2"/>
      <c r="I475" s="2"/>
      <c r="J475" s="2"/>
      <c r="K475" s="2"/>
    </row>
    <row r="476" spans="1:11" ht="13.8" x14ac:dyDescent="0.3">
      <c r="A476" s="3"/>
      <c r="E476" s="2"/>
      <c r="F476" s="2"/>
      <c r="G476" s="2"/>
      <c r="H476" s="2"/>
      <c r="I476" s="2"/>
      <c r="J476" s="2"/>
      <c r="K476" s="2"/>
    </row>
    <row r="477" spans="1:11" ht="13.8" x14ac:dyDescent="0.3">
      <c r="A477" s="3"/>
      <c r="E477" s="2"/>
      <c r="F477" s="2"/>
      <c r="G477" s="2"/>
      <c r="H477" s="2"/>
      <c r="I477" s="2"/>
      <c r="J477" s="2"/>
      <c r="K477" s="2"/>
    </row>
    <row r="478" spans="1:11" ht="13.8" x14ac:dyDescent="0.3">
      <c r="A478" s="3"/>
      <c r="E478" s="2"/>
      <c r="F478" s="2"/>
      <c r="G478" s="2"/>
      <c r="H478" s="2"/>
      <c r="I478" s="2"/>
      <c r="J478" s="2"/>
      <c r="K478" s="2"/>
    </row>
    <row r="479" spans="1:11" ht="13.8" x14ac:dyDescent="0.3">
      <c r="A479" s="3"/>
      <c r="E479" s="2"/>
      <c r="F479" s="2"/>
      <c r="G479" s="2"/>
      <c r="H479" s="2"/>
      <c r="I479" s="2"/>
      <c r="J479" s="2"/>
      <c r="K479" s="2"/>
    </row>
    <row r="480" spans="1:11" ht="13.8" x14ac:dyDescent="0.3">
      <c r="A480" s="3"/>
      <c r="E480" s="2"/>
      <c r="F480" s="2"/>
      <c r="G480" s="2"/>
      <c r="H480" s="2"/>
      <c r="I480" s="2"/>
      <c r="J480" s="2"/>
      <c r="K480" s="2"/>
    </row>
    <row r="481" spans="1:11" ht="13.8" x14ac:dyDescent="0.3">
      <c r="A481" s="3"/>
      <c r="E481" s="2"/>
      <c r="F481" s="2"/>
      <c r="G481" s="2"/>
      <c r="H481" s="2"/>
      <c r="I481" s="2"/>
      <c r="J481" s="2"/>
      <c r="K481" s="2"/>
    </row>
    <row r="482" spans="1:11" ht="13.8" x14ac:dyDescent="0.3">
      <c r="A482" s="3"/>
      <c r="E482" s="2"/>
      <c r="F482" s="2"/>
      <c r="G482" s="2"/>
      <c r="H482" s="2"/>
      <c r="I482" s="2"/>
      <c r="J482" s="2"/>
      <c r="K482" s="2"/>
    </row>
    <row r="483" spans="1:11" ht="13.8" x14ac:dyDescent="0.3">
      <c r="A483" s="3"/>
      <c r="E483" s="2"/>
      <c r="F483" s="2"/>
      <c r="G483" s="2"/>
      <c r="H483" s="2"/>
      <c r="I483" s="2"/>
      <c r="J483" s="2"/>
      <c r="K483" s="2"/>
    </row>
    <row r="484" spans="1:11" ht="13.8" x14ac:dyDescent="0.3">
      <c r="A484" s="3"/>
      <c r="E484" s="2"/>
      <c r="F484" s="2"/>
      <c r="G484" s="2"/>
      <c r="H484" s="2"/>
      <c r="I484" s="2"/>
      <c r="J484" s="2"/>
      <c r="K484" s="2"/>
    </row>
    <row r="485" spans="1:11" ht="13.8" x14ac:dyDescent="0.3">
      <c r="A485" s="3"/>
      <c r="E485" s="2"/>
      <c r="F485" s="2"/>
      <c r="G485" s="2"/>
      <c r="H485" s="2"/>
      <c r="I485" s="2"/>
      <c r="J485" s="2"/>
      <c r="K485" s="2"/>
    </row>
    <row r="486" spans="1:11" ht="13.8" x14ac:dyDescent="0.3">
      <c r="A486" s="3"/>
      <c r="E486" s="2"/>
      <c r="F486" s="2"/>
      <c r="G486" s="2"/>
      <c r="H486" s="2"/>
      <c r="I486" s="2"/>
      <c r="J486" s="2"/>
      <c r="K486" s="2"/>
    </row>
    <row r="487" spans="1:11" ht="13.8" x14ac:dyDescent="0.3">
      <c r="A487" s="3"/>
      <c r="E487" s="2"/>
      <c r="F487" s="2"/>
      <c r="G487" s="2"/>
      <c r="H487" s="2"/>
      <c r="I487" s="2"/>
      <c r="J487" s="2"/>
      <c r="K487" s="2"/>
    </row>
    <row r="488" spans="1:11" ht="13.8" x14ac:dyDescent="0.3">
      <c r="A488" s="3"/>
      <c r="E488" s="2"/>
      <c r="F488" s="2"/>
      <c r="G488" s="2"/>
      <c r="H488" s="2"/>
      <c r="I488" s="2"/>
      <c r="J488" s="2"/>
      <c r="K488" s="2"/>
    </row>
    <row r="489" spans="1:11" ht="13.8" x14ac:dyDescent="0.3">
      <c r="A489" s="3"/>
      <c r="E489" s="2"/>
      <c r="F489" s="2"/>
      <c r="G489" s="2"/>
      <c r="H489" s="2"/>
      <c r="I489" s="2"/>
      <c r="J489" s="2"/>
      <c r="K489" s="2"/>
    </row>
    <row r="490" spans="1:11" ht="13.8" x14ac:dyDescent="0.3">
      <c r="A490" s="3"/>
      <c r="E490" s="2"/>
      <c r="F490" s="2"/>
      <c r="G490" s="2"/>
      <c r="H490" s="2"/>
      <c r="I490" s="2"/>
      <c r="J490" s="2"/>
      <c r="K490" s="2"/>
    </row>
    <row r="491" spans="1:11" ht="13.8" x14ac:dyDescent="0.3">
      <c r="A491" s="3"/>
      <c r="E491" s="2"/>
      <c r="F491" s="2"/>
      <c r="G491" s="2"/>
      <c r="H491" s="2"/>
      <c r="I491" s="2"/>
      <c r="J491" s="2"/>
      <c r="K491" s="2"/>
    </row>
    <row r="492" spans="1:11" ht="13.8" x14ac:dyDescent="0.3">
      <c r="A492" s="3"/>
      <c r="E492" s="2"/>
      <c r="F492" s="2"/>
      <c r="G492" s="2"/>
      <c r="H492" s="2"/>
      <c r="I492" s="2"/>
      <c r="J492" s="2"/>
      <c r="K492" s="2"/>
    </row>
    <row r="493" spans="1:11" ht="13.8" x14ac:dyDescent="0.3">
      <c r="A493" s="3"/>
      <c r="E493" s="2"/>
      <c r="F493" s="2"/>
      <c r="G493" s="2"/>
      <c r="H493" s="2"/>
      <c r="I493" s="2"/>
      <c r="J493" s="2"/>
      <c r="K493" s="2"/>
    </row>
    <row r="494" spans="1:11" ht="13.8" x14ac:dyDescent="0.3">
      <c r="A494" s="3"/>
      <c r="E494" s="2"/>
      <c r="F494" s="2"/>
      <c r="G494" s="2"/>
      <c r="H494" s="2"/>
      <c r="I494" s="2"/>
      <c r="J494" s="2"/>
      <c r="K494" s="2"/>
    </row>
    <row r="495" spans="1:11" ht="13.8" x14ac:dyDescent="0.3">
      <c r="A495" s="3"/>
      <c r="E495" s="2"/>
      <c r="F495" s="2"/>
      <c r="G495" s="2"/>
      <c r="H495" s="2"/>
      <c r="I495" s="2"/>
      <c r="J495" s="2"/>
      <c r="K495" s="2"/>
    </row>
    <row r="496" spans="1:11" ht="13.8" x14ac:dyDescent="0.3">
      <c r="A496" s="3"/>
      <c r="E496" s="2"/>
      <c r="F496" s="2"/>
      <c r="G496" s="2"/>
      <c r="H496" s="2"/>
      <c r="I496" s="2"/>
      <c r="J496" s="2"/>
      <c r="K496" s="2"/>
    </row>
    <row r="497" spans="1:11" ht="13.8" x14ac:dyDescent="0.3">
      <c r="A497" s="3"/>
      <c r="E497" s="2"/>
      <c r="F497" s="2"/>
      <c r="G497" s="2"/>
      <c r="H497" s="2"/>
      <c r="I497" s="2"/>
      <c r="J497" s="2"/>
      <c r="K497" s="2"/>
    </row>
    <row r="498" spans="1:11" ht="13.8" x14ac:dyDescent="0.3">
      <c r="A498" s="3"/>
      <c r="E498" s="2"/>
      <c r="F498" s="2"/>
      <c r="G498" s="2"/>
      <c r="H498" s="2"/>
      <c r="I498" s="2"/>
      <c r="J498" s="2"/>
      <c r="K498" s="2"/>
    </row>
    <row r="499" spans="1:11" ht="13.8" x14ac:dyDescent="0.3">
      <c r="A499" s="3"/>
      <c r="E499" s="2"/>
      <c r="F499" s="2"/>
      <c r="G499" s="2"/>
      <c r="H499" s="2"/>
      <c r="I499" s="2"/>
      <c r="J499" s="2"/>
      <c r="K499" s="2"/>
    </row>
    <row r="500" spans="1:11" ht="13.8" x14ac:dyDescent="0.3">
      <c r="A500" s="3"/>
      <c r="E500" s="2"/>
      <c r="F500" s="2"/>
      <c r="G500" s="2"/>
      <c r="H500" s="2"/>
      <c r="I500" s="2"/>
      <c r="J500" s="2"/>
      <c r="K500" s="2"/>
    </row>
    <row r="501" spans="1:11" ht="13.8" x14ac:dyDescent="0.3">
      <c r="A501" s="3"/>
      <c r="E501" s="2"/>
      <c r="F501" s="2"/>
      <c r="G501" s="2"/>
      <c r="H501" s="2"/>
      <c r="I501" s="2"/>
      <c r="J501" s="2"/>
      <c r="K501" s="2"/>
    </row>
    <row r="502" spans="1:11" ht="13.8" x14ac:dyDescent="0.3">
      <c r="A502" s="3"/>
      <c r="E502" s="2"/>
      <c r="F502" s="2"/>
      <c r="G502" s="2"/>
      <c r="H502" s="2"/>
      <c r="I502" s="2"/>
      <c r="J502" s="2"/>
      <c r="K502" s="2"/>
    </row>
    <row r="503" spans="1:11" ht="13.8" x14ac:dyDescent="0.3">
      <c r="A503" s="3"/>
      <c r="E503" s="2"/>
      <c r="F503" s="2"/>
      <c r="G503" s="2"/>
      <c r="H503" s="2"/>
      <c r="I503" s="2"/>
      <c r="J503" s="2"/>
      <c r="K503" s="2"/>
    </row>
    <row r="504" spans="1:11" ht="13.8" x14ac:dyDescent="0.3">
      <c r="A504" s="3"/>
      <c r="E504" s="2"/>
      <c r="F504" s="2"/>
      <c r="G504" s="2"/>
      <c r="H504" s="2"/>
      <c r="I504" s="2"/>
      <c r="J504" s="2"/>
      <c r="K504" s="2"/>
    </row>
    <row r="505" spans="1:11" ht="13.8" x14ac:dyDescent="0.3">
      <c r="A505" s="3"/>
      <c r="E505" s="2"/>
      <c r="F505" s="2"/>
      <c r="G505" s="2"/>
      <c r="H505" s="2"/>
      <c r="I505" s="2"/>
      <c r="J505" s="2"/>
      <c r="K505" s="2"/>
    </row>
    <row r="506" spans="1:11" ht="13.8" x14ac:dyDescent="0.3">
      <c r="A506" s="3"/>
      <c r="E506" s="2"/>
      <c r="F506" s="2"/>
      <c r="G506" s="2"/>
      <c r="H506" s="2"/>
      <c r="I506" s="2"/>
      <c r="J506" s="2"/>
      <c r="K506" s="2"/>
    </row>
    <row r="507" spans="1:11" ht="13.8" x14ac:dyDescent="0.3">
      <c r="A507" s="3"/>
      <c r="E507" s="2"/>
      <c r="F507" s="2"/>
      <c r="G507" s="2"/>
      <c r="H507" s="2"/>
      <c r="I507" s="2"/>
      <c r="J507" s="2"/>
      <c r="K507" s="2"/>
    </row>
    <row r="508" spans="1:11" ht="13.8" x14ac:dyDescent="0.3">
      <c r="A508" s="3"/>
      <c r="E508" s="2"/>
      <c r="F508" s="2"/>
      <c r="G508" s="2"/>
      <c r="H508" s="2"/>
      <c r="I508" s="2"/>
      <c r="J508" s="2"/>
      <c r="K508" s="2"/>
    </row>
    <row r="509" spans="1:11" ht="13.8" x14ac:dyDescent="0.3">
      <c r="A509" s="3"/>
      <c r="E509" s="2"/>
      <c r="F509" s="2"/>
      <c r="G509" s="2"/>
      <c r="H509" s="2"/>
      <c r="I509" s="2"/>
      <c r="J509" s="2"/>
      <c r="K509" s="2"/>
    </row>
    <row r="510" spans="1:11" ht="13.8" x14ac:dyDescent="0.3">
      <c r="A510" s="3"/>
      <c r="E510" s="2"/>
      <c r="F510" s="2"/>
      <c r="G510" s="2"/>
      <c r="H510" s="2"/>
      <c r="I510" s="2"/>
      <c r="J510" s="2"/>
      <c r="K510" s="2"/>
    </row>
    <row r="511" spans="1:11" ht="13.8" x14ac:dyDescent="0.3">
      <c r="A511" s="3"/>
      <c r="E511" s="2"/>
      <c r="F511" s="2"/>
      <c r="G511" s="2"/>
      <c r="H511" s="2"/>
      <c r="I511" s="2"/>
      <c r="J511" s="2"/>
      <c r="K511" s="2"/>
    </row>
    <row r="512" spans="1:11" ht="13.8" x14ac:dyDescent="0.3">
      <c r="A512" s="3"/>
      <c r="E512" s="2"/>
      <c r="F512" s="2"/>
      <c r="G512" s="2"/>
      <c r="H512" s="2"/>
      <c r="I512" s="2"/>
      <c r="J512" s="2"/>
      <c r="K512" s="2"/>
    </row>
    <row r="513" spans="1:11" ht="13.8" x14ac:dyDescent="0.3">
      <c r="A513" s="3"/>
      <c r="E513" s="2"/>
      <c r="F513" s="2"/>
      <c r="G513" s="2"/>
      <c r="H513" s="2"/>
      <c r="I513" s="2"/>
      <c r="J513" s="2"/>
      <c r="K513" s="2"/>
    </row>
    <row r="514" spans="1:11" ht="13.8" x14ac:dyDescent="0.3">
      <c r="A514" s="3"/>
      <c r="E514" s="2"/>
      <c r="F514" s="2"/>
      <c r="G514" s="2"/>
      <c r="H514" s="2"/>
      <c r="I514" s="2"/>
      <c r="J514" s="2"/>
      <c r="K514" s="2"/>
    </row>
    <row r="515" spans="1:11" ht="13.8" x14ac:dyDescent="0.3">
      <c r="A515" s="3"/>
      <c r="E515" s="2"/>
      <c r="F515" s="2"/>
      <c r="G515" s="2"/>
      <c r="H515" s="2"/>
      <c r="I515" s="2"/>
      <c r="J515" s="2"/>
      <c r="K515" s="2"/>
    </row>
    <row r="516" spans="1:11" ht="13.8" x14ac:dyDescent="0.3">
      <c r="A516" s="3"/>
      <c r="E516" s="2"/>
      <c r="F516" s="2"/>
      <c r="G516" s="2"/>
      <c r="H516" s="2"/>
      <c r="I516" s="2"/>
      <c r="J516" s="2"/>
      <c r="K516" s="2"/>
    </row>
    <row r="517" spans="1:11" ht="13.8" x14ac:dyDescent="0.3">
      <c r="A517" s="3"/>
      <c r="E517" s="2"/>
      <c r="F517" s="2"/>
      <c r="G517" s="2"/>
      <c r="H517" s="2"/>
      <c r="I517" s="2"/>
      <c r="J517" s="2"/>
      <c r="K517" s="2"/>
    </row>
    <row r="518" spans="1:11" ht="13.8" x14ac:dyDescent="0.3">
      <c r="A518" s="3"/>
      <c r="E518" s="2"/>
      <c r="F518" s="2"/>
      <c r="G518" s="2"/>
      <c r="H518" s="2"/>
      <c r="I518" s="2"/>
      <c r="J518" s="2"/>
      <c r="K518" s="2"/>
    </row>
    <row r="519" spans="1:11" ht="13.8" x14ac:dyDescent="0.3">
      <c r="A519" s="3"/>
      <c r="E519" s="2"/>
      <c r="F519" s="2"/>
      <c r="G519" s="2"/>
      <c r="H519" s="2"/>
      <c r="I519" s="2"/>
      <c r="J519" s="2"/>
      <c r="K519" s="2"/>
    </row>
    <row r="520" spans="1:11" ht="13.8" x14ac:dyDescent="0.3">
      <c r="A520" s="3"/>
      <c r="E520" s="2"/>
      <c r="F520" s="2"/>
      <c r="G520" s="2"/>
      <c r="H520" s="2"/>
      <c r="I520" s="2"/>
      <c r="J520" s="2"/>
      <c r="K520" s="2"/>
    </row>
    <row r="521" spans="1:11" ht="13.8" x14ac:dyDescent="0.3">
      <c r="A521" s="3"/>
      <c r="E521" s="2"/>
      <c r="F521" s="2"/>
      <c r="G521" s="2"/>
      <c r="H521" s="2"/>
      <c r="I521" s="2"/>
      <c r="J521" s="2"/>
      <c r="K521" s="2"/>
    </row>
    <row r="522" spans="1:11" ht="13.8" x14ac:dyDescent="0.3">
      <c r="A522" s="3"/>
      <c r="E522" s="2"/>
      <c r="F522" s="2"/>
      <c r="G522" s="2"/>
      <c r="H522" s="2"/>
      <c r="I522" s="2"/>
      <c r="J522" s="2"/>
      <c r="K522" s="2"/>
    </row>
    <row r="523" spans="1:11" ht="13.8" x14ac:dyDescent="0.3">
      <c r="A523" s="3"/>
      <c r="E523" s="2"/>
      <c r="F523" s="2"/>
      <c r="G523" s="2"/>
      <c r="H523" s="2"/>
      <c r="I523" s="2"/>
      <c r="J523" s="2"/>
      <c r="K523" s="2"/>
    </row>
    <row r="524" spans="1:11" ht="13.8" x14ac:dyDescent="0.3">
      <c r="A524" s="3"/>
      <c r="E524" s="2"/>
      <c r="F524" s="2"/>
      <c r="G524" s="2"/>
      <c r="H524" s="2"/>
      <c r="I524" s="2"/>
      <c r="J524" s="2"/>
      <c r="K524" s="2"/>
    </row>
    <row r="525" spans="1:11" ht="13.8" x14ac:dyDescent="0.3">
      <c r="A525" s="3"/>
      <c r="E525" s="2"/>
      <c r="F525" s="2"/>
      <c r="G525" s="2"/>
      <c r="H525" s="2"/>
      <c r="I525" s="2"/>
      <c r="J525" s="2"/>
      <c r="K525" s="2"/>
    </row>
    <row r="526" spans="1:11" ht="13.8" x14ac:dyDescent="0.3">
      <c r="A526" s="3"/>
      <c r="E526" s="2"/>
      <c r="F526" s="2"/>
      <c r="G526" s="2"/>
      <c r="H526" s="2"/>
      <c r="I526" s="2"/>
      <c r="J526" s="2"/>
      <c r="K526" s="2"/>
    </row>
    <row r="527" spans="1:11" ht="13.8" x14ac:dyDescent="0.3">
      <c r="A527" s="3"/>
      <c r="E527" s="2"/>
      <c r="F527" s="2"/>
      <c r="G527" s="2"/>
      <c r="H527" s="2"/>
      <c r="I527" s="2"/>
      <c r="J527" s="2"/>
      <c r="K527" s="2"/>
    </row>
    <row r="528" spans="1:11" ht="13.8" x14ac:dyDescent="0.3">
      <c r="A528" s="3"/>
      <c r="E528" s="2"/>
      <c r="F528" s="2"/>
      <c r="G528" s="2"/>
      <c r="H528" s="2"/>
      <c r="I528" s="2"/>
      <c r="J528" s="2"/>
      <c r="K528" s="2"/>
    </row>
    <row r="529" spans="1:11" ht="13.8" x14ac:dyDescent="0.3">
      <c r="A529" s="3"/>
      <c r="E529" s="2"/>
      <c r="F529" s="2"/>
      <c r="G529" s="2"/>
      <c r="H529" s="2"/>
      <c r="I529" s="2"/>
      <c r="J529" s="2"/>
      <c r="K529" s="2"/>
    </row>
    <row r="530" spans="1:11" ht="13.8" x14ac:dyDescent="0.3">
      <c r="A530" s="3"/>
      <c r="E530" s="2"/>
      <c r="F530" s="2"/>
      <c r="G530" s="2"/>
      <c r="H530" s="2"/>
      <c r="I530" s="2"/>
      <c r="J530" s="2"/>
      <c r="K530" s="2"/>
    </row>
    <row r="531" spans="1:11" ht="13.8" x14ac:dyDescent="0.3">
      <c r="A531" s="3"/>
      <c r="E531" s="2"/>
      <c r="F531" s="2"/>
      <c r="G531" s="2"/>
      <c r="H531" s="2"/>
      <c r="I531" s="2"/>
      <c r="J531" s="2"/>
      <c r="K531" s="2"/>
    </row>
    <row r="532" spans="1:11" ht="13.8" x14ac:dyDescent="0.3">
      <c r="A532" s="3"/>
      <c r="E532" s="2"/>
      <c r="F532" s="2"/>
      <c r="G532" s="2"/>
      <c r="H532" s="2"/>
      <c r="I532" s="2"/>
      <c r="J532" s="2"/>
      <c r="K532" s="2"/>
    </row>
    <row r="533" spans="1:11" ht="13.8" x14ac:dyDescent="0.3">
      <c r="A533" s="3"/>
      <c r="E533" s="2"/>
      <c r="F533" s="2"/>
      <c r="G533" s="2"/>
      <c r="H533" s="2"/>
      <c r="I533" s="2"/>
      <c r="J533" s="2"/>
      <c r="K533" s="2"/>
    </row>
    <row r="534" spans="1:11" ht="13.8" x14ac:dyDescent="0.3">
      <c r="A534" s="3"/>
      <c r="E534" s="2"/>
      <c r="F534" s="2"/>
      <c r="G534" s="2"/>
      <c r="H534" s="2"/>
      <c r="I534" s="2"/>
      <c r="J534" s="2"/>
      <c r="K534" s="2"/>
    </row>
    <row r="535" spans="1:11" ht="13.8" x14ac:dyDescent="0.3">
      <c r="A535" s="3"/>
      <c r="E535" s="2"/>
      <c r="F535" s="2"/>
      <c r="G535" s="2"/>
      <c r="H535" s="2"/>
      <c r="I535" s="2"/>
      <c r="J535" s="2"/>
      <c r="K535" s="2"/>
    </row>
    <row r="536" spans="1:11" ht="13.8" x14ac:dyDescent="0.3">
      <c r="A536" s="3"/>
      <c r="E536" s="2"/>
      <c r="F536" s="2"/>
      <c r="G536" s="2"/>
      <c r="H536" s="2"/>
      <c r="I536" s="2"/>
      <c r="J536" s="2"/>
      <c r="K536" s="2"/>
    </row>
    <row r="537" spans="1:11" ht="13.8" x14ac:dyDescent="0.3">
      <c r="A537" s="3"/>
      <c r="E537" s="2"/>
      <c r="F537" s="2"/>
      <c r="G537" s="2"/>
      <c r="H537" s="2"/>
      <c r="I537" s="2"/>
      <c r="J537" s="2"/>
      <c r="K537" s="2"/>
    </row>
    <row r="538" spans="1:11" ht="13.8" x14ac:dyDescent="0.3">
      <c r="A538" s="3"/>
      <c r="E538" s="2"/>
      <c r="F538" s="2"/>
      <c r="G538" s="2"/>
      <c r="H538" s="2"/>
      <c r="I538" s="2"/>
      <c r="J538" s="2"/>
      <c r="K538" s="2"/>
    </row>
    <row r="539" spans="1:11" ht="13.8" x14ac:dyDescent="0.3">
      <c r="A539" s="3"/>
      <c r="E539" s="2"/>
      <c r="F539" s="2"/>
      <c r="G539" s="2"/>
      <c r="H539" s="2"/>
      <c r="I539" s="2"/>
      <c r="J539" s="2"/>
      <c r="K539" s="2"/>
    </row>
    <row r="540" spans="1:11" ht="13.8" x14ac:dyDescent="0.3">
      <c r="A540" s="3"/>
      <c r="E540" s="2"/>
      <c r="F540" s="2"/>
      <c r="G540" s="2"/>
      <c r="H540" s="2"/>
      <c r="I540" s="2"/>
      <c r="J540" s="2"/>
      <c r="K540" s="2"/>
    </row>
    <row r="541" spans="1:11" ht="13.8" x14ac:dyDescent="0.3">
      <c r="A541" s="3"/>
      <c r="E541" s="2"/>
      <c r="F541" s="2"/>
      <c r="G541" s="2"/>
      <c r="H541" s="2"/>
      <c r="I541" s="2"/>
      <c r="J541" s="2"/>
      <c r="K541" s="2"/>
    </row>
    <row r="542" spans="1:11" ht="13.8" x14ac:dyDescent="0.3">
      <c r="A542" s="3"/>
      <c r="E542" s="2"/>
      <c r="F542" s="2"/>
      <c r="G542" s="2"/>
      <c r="H542" s="2"/>
      <c r="I542" s="2"/>
      <c r="J542" s="2"/>
      <c r="K542" s="2"/>
    </row>
    <row r="543" spans="1:11" ht="13.8" x14ac:dyDescent="0.3">
      <c r="A543" s="3"/>
      <c r="E543" s="2"/>
      <c r="F543" s="2"/>
      <c r="G543" s="2"/>
      <c r="H543" s="2"/>
      <c r="I543" s="2"/>
      <c r="J543" s="2"/>
      <c r="K543" s="2"/>
    </row>
    <row r="544" spans="1:11" ht="13.8" x14ac:dyDescent="0.3">
      <c r="A544" s="3"/>
      <c r="E544" s="2"/>
      <c r="F544" s="2"/>
      <c r="G544" s="2"/>
      <c r="H544" s="2"/>
      <c r="I544" s="2"/>
      <c r="J544" s="2"/>
      <c r="K544" s="2"/>
    </row>
    <row r="545" spans="1:11" ht="13.8" x14ac:dyDescent="0.3">
      <c r="A545" s="3"/>
      <c r="E545" s="2"/>
      <c r="F545" s="2"/>
      <c r="G545" s="2"/>
      <c r="H545" s="2"/>
      <c r="I545" s="2"/>
      <c r="J545" s="2"/>
      <c r="K545" s="2"/>
    </row>
    <row r="546" spans="1:11" ht="13.8" x14ac:dyDescent="0.3">
      <c r="A546" s="3"/>
      <c r="E546" s="2"/>
      <c r="F546" s="2"/>
      <c r="G546" s="2"/>
      <c r="H546" s="2"/>
      <c r="I546" s="2"/>
      <c r="J546" s="2"/>
      <c r="K546" s="2"/>
    </row>
    <row r="547" spans="1:11" ht="13.8" x14ac:dyDescent="0.3">
      <c r="A547" s="3"/>
      <c r="E547" s="2"/>
      <c r="F547" s="2"/>
      <c r="G547" s="2"/>
      <c r="H547" s="2"/>
      <c r="I547" s="2"/>
      <c r="J547" s="2"/>
      <c r="K547" s="2"/>
    </row>
    <row r="548" spans="1:11" ht="13.8" x14ac:dyDescent="0.3">
      <c r="A548" s="3"/>
      <c r="E548" s="2"/>
      <c r="F548" s="2"/>
      <c r="G548" s="2"/>
      <c r="H548" s="2"/>
      <c r="I548" s="2"/>
      <c r="J548" s="2"/>
      <c r="K548" s="2"/>
    </row>
    <row r="549" spans="1:11" ht="13.8" x14ac:dyDescent="0.3">
      <c r="A549" s="3"/>
      <c r="E549" s="2"/>
      <c r="F549" s="2"/>
      <c r="G549" s="2"/>
      <c r="H549" s="2"/>
      <c r="I549" s="2"/>
      <c r="J549" s="2"/>
      <c r="K549" s="2"/>
    </row>
    <row r="550" spans="1:11" ht="13.8" x14ac:dyDescent="0.3">
      <c r="A550" s="3"/>
      <c r="E550" s="2"/>
      <c r="F550" s="2"/>
      <c r="G550" s="2"/>
      <c r="H550" s="2"/>
      <c r="I550" s="2"/>
      <c r="J550" s="2"/>
      <c r="K550" s="2"/>
    </row>
    <row r="551" spans="1:11" ht="13.8" x14ac:dyDescent="0.3">
      <c r="A551" s="3"/>
      <c r="E551" s="2"/>
      <c r="F551" s="2"/>
      <c r="G551" s="2"/>
      <c r="H551" s="2"/>
      <c r="I551" s="2"/>
      <c r="J551" s="2"/>
      <c r="K551" s="2"/>
    </row>
    <row r="552" spans="1:11" ht="13.8" x14ac:dyDescent="0.3">
      <c r="A552" s="3"/>
      <c r="E552" s="2"/>
      <c r="F552" s="2"/>
      <c r="G552" s="2"/>
      <c r="H552" s="2"/>
      <c r="I552" s="2"/>
      <c r="J552" s="2"/>
      <c r="K552" s="2"/>
    </row>
    <row r="553" spans="1:11" ht="13.8" x14ac:dyDescent="0.3">
      <c r="A553" s="3"/>
      <c r="E553" s="2"/>
      <c r="F553" s="2"/>
      <c r="G553" s="2"/>
      <c r="H553" s="2"/>
      <c r="I553" s="2"/>
      <c r="J553" s="2"/>
      <c r="K553" s="2"/>
    </row>
    <row r="554" spans="1:11" ht="13.8" x14ac:dyDescent="0.3">
      <c r="A554" s="3"/>
      <c r="E554" s="2"/>
      <c r="F554" s="2"/>
      <c r="G554" s="2"/>
      <c r="H554" s="2"/>
      <c r="I554" s="2"/>
      <c r="J554" s="2"/>
      <c r="K554" s="2"/>
    </row>
    <row r="555" spans="1:11" ht="13.8" x14ac:dyDescent="0.3">
      <c r="A555" s="3"/>
      <c r="E555" s="2"/>
      <c r="F555" s="2"/>
      <c r="G555" s="2"/>
      <c r="H555" s="2"/>
      <c r="I555" s="2"/>
      <c r="J555" s="2"/>
      <c r="K555" s="2"/>
    </row>
    <row r="556" spans="1:11" ht="13.8" x14ac:dyDescent="0.3">
      <c r="A556" s="3"/>
      <c r="E556" s="2"/>
      <c r="F556" s="2"/>
      <c r="G556" s="2"/>
      <c r="H556" s="2"/>
      <c r="I556" s="2"/>
      <c r="J556" s="2"/>
      <c r="K556" s="2"/>
    </row>
    <row r="557" spans="1:11" ht="13.8" x14ac:dyDescent="0.3">
      <c r="A557" s="3"/>
      <c r="E557" s="2"/>
      <c r="F557" s="2"/>
      <c r="G557" s="2"/>
      <c r="H557" s="2"/>
      <c r="I557" s="2"/>
      <c r="J557" s="2"/>
      <c r="K557" s="2"/>
    </row>
    <row r="558" spans="1:11" ht="13.8" x14ac:dyDescent="0.3">
      <c r="A558" s="3"/>
      <c r="E558" s="2"/>
      <c r="F558" s="2"/>
      <c r="G558" s="2"/>
      <c r="H558" s="2"/>
      <c r="I558" s="2"/>
      <c r="J558" s="2"/>
      <c r="K558" s="2"/>
    </row>
    <row r="559" spans="1:11" ht="13.8" x14ac:dyDescent="0.3">
      <c r="A559" s="3"/>
      <c r="E559" s="2"/>
      <c r="F559" s="2"/>
      <c r="G559" s="2"/>
      <c r="H559" s="2"/>
      <c r="I559" s="2"/>
      <c r="J559" s="2"/>
      <c r="K559" s="2"/>
    </row>
    <row r="560" spans="1:11" ht="13.8" x14ac:dyDescent="0.3">
      <c r="A560" s="3"/>
      <c r="E560" s="2"/>
      <c r="F560" s="2"/>
      <c r="G560" s="2"/>
      <c r="H560" s="2"/>
      <c r="I560" s="2"/>
      <c r="J560" s="2"/>
      <c r="K560" s="2"/>
    </row>
    <row r="561" spans="1:11" ht="13.8" x14ac:dyDescent="0.3">
      <c r="A561" s="3"/>
      <c r="E561" s="2"/>
      <c r="F561" s="2"/>
      <c r="G561" s="2"/>
      <c r="H561" s="2"/>
      <c r="I561" s="2"/>
      <c r="J561" s="2"/>
      <c r="K561" s="2"/>
    </row>
    <row r="562" spans="1:11" ht="13.8" x14ac:dyDescent="0.3">
      <c r="A562" s="3"/>
      <c r="E562" s="2"/>
      <c r="F562" s="2"/>
      <c r="G562" s="2"/>
      <c r="H562" s="2"/>
      <c r="I562" s="2"/>
      <c r="J562" s="2"/>
      <c r="K562" s="2"/>
    </row>
    <row r="563" spans="1:11" ht="13.8" x14ac:dyDescent="0.3">
      <c r="A563" s="3"/>
      <c r="E563" s="2"/>
      <c r="F563" s="2"/>
      <c r="G563" s="2"/>
      <c r="H563" s="2"/>
      <c r="I563" s="2"/>
      <c r="J563" s="2"/>
      <c r="K563" s="2"/>
    </row>
    <row r="564" spans="1:11" ht="13.8" x14ac:dyDescent="0.3">
      <c r="A564" s="3"/>
      <c r="E564" s="2"/>
      <c r="F564" s="2"/>
      <c r="G564" s="2"/>
      <c r="H564" s="2"/>
      <c r="I564" s="2"/>
      <c r="J564" s="2"/>
      <c r="K564" s="2"/>
    </row>
    <row r="565" spans="1:11" ht="13.8" x14ac:dyDescent="0.3">
      <c r="A565" s="3"/>
      <c r="E565" s="2"/>
      <c r="F565" s="2"/>
      <c r="G565" s="2"/>
      <c r="H565" s="2"/>
      <c r="I565" s="2"/>
      <c r="J565" s="2"/>
      <c r="K565" s="2"/>
    </row>
    <row r="566" spans="1:11" ht="13.8" x14ac:dyDescent="0.3">
      <c r="A566" s="3"/>
      <c r="E566" s="2"/>
      <c r="F566" s="2"/>
      <c r="G566" s="2"/>
      <c r="H566" s="2"/>
      <c r="I566" s="2"/>
      <c r="J566" s="2"/>
      <c r="K566" s="2"/>
    </row>
    <row r="567" spans="1:11" ht="13.8" x14ac:dyDescent="0.3">
      <c r="A567" s="3"/>
      <c r="E567" s="2"/>
      <c r="F567" s="2"/>
      <c r="G567" s="2"/>
      <c r="H567" s="2"/>
      <c r="I567" s="2"/>
      <c r="J567" s="2"/>
      <c r="K567" s="2"/>
    </row>
    <row r="568" spans="1:11" ht="13.8" x14ac:dyDescent="0.3">
      <c r="A568" s="3"/>
      <c r="E568" s="2"/>
      <c r="F568" s="2"/>
      <c r="G568" s="2"/>
      <c r="H568" s="2"/>
      <c r="I568" s="2"/>
      <c r="J568" s="2"/>
      <c r="K568" s="2"/>
    </row>
    <row r="569" spans="1:11" ht="13.8" x14ac:dyDescent="0.3">
      <c r="A569" s="3"/>
      <c r="E569" s="2"/>
      <c r="F569" s="2"/>
      <c r="G569" s="2"/>
      <c r="H569" s="2"/>
      <c r="I569" s="2"/>
      <c r="J569" s="2"/>
      <c r="K569" s="2"/>
    </row>
    <row r="570" spans="1:11" ht="13.8" x14ac:dyDescent="0.3">
      <c r="A570" s="3"/>
      <c r="E570" s="2"/>
      <c r="F570" s="2"/>
      <c r="G570" s="2"/>
      <c r="H570" s="2"/>
      <c r="I570" s="2"/>
      <c r="J570" s="2"/>
      <c r="K570" s="2"/>
    </row>
    <row r="571" spans="1:11" ht="13.8" x14ac:dyDescent="0.3">
      <c r="A571" s="3"/>
      <c r="E571" s="2"/>
      <c r="F571" s="2"/>
      <c r="G571" s="2"/>
      <c r="H571" s="2"/>
      <c r="I571" s="2"/>
      <c r="J571" s="2"/>
      <c r="K571" s="2"/>
    </row>
    <row r="572" spans="1:11" ht="13.8" x14ac:dyDescent="0.3">
      <c r="A572" s="3"/>
      <c r="E572" s="2"/>
      <c r="F572" s="2"/>
      <c r="G572" s="2"/>
      <c r="H572" s="2"/>
      <c r="I572" s="2"/>
      <c r="J572" s="2"/>
      <c r="K572" s="2"/>
    </row>
    <row r="573" spans="1:11" ht="13.8" x14ac:dyDescent="0.3">
      <c r="A573" s="3"/>
      <c r="E573" s="2"/>
      <c r="F573" s="2"/>
      <c r="G573" s="2"/>
      <c r="H573" s="2"/>
      <c r="I573" s="2"/>
      <c r="J573" s="2"/>
      <c r="K573" s="2"/>
    </row>
    <row r="574" spans="1:11" ht="13.8" x14ac:dyDescent="0.3">
      <c r="A574" s="3"/>
      <c r="E574" s="2"/>
      <c r="F574" s="2"/>
      <c r="G574" s="2"/>
      <c r="H574" s="2"/>
      <c r="I574" s="2"/>
      <c r="J574" s="2"/>
      <c r="K574" s="2"/>
    </row>
    <row r="575" spans="1:11" ht="13.8" x14ac:dyDescent="0.3">
      <c r="A575" s="3"/>
      <c r="E575" s="2"/>
      <c r="F575" s="2"/>
      <c r="G575" s="2"/>
      <c r="H575" s="2"/>
      <c r="I575" s="2"/>
      <c r="J575" s="2"/>
      <c r="K575" s="2"/>
    </row>
    <row r="576" spans="1:11" ht="13.8" x14ac:dyDescent="0.3">
      <c r="A576" s="3"/>
      <c r="E576" s="2"/>
      <c r="F576" s="2"/>
      <c r="G576" s="2"/>
      <c r="H576" s="2"/>
      <c r="I576" s="2"/>
      <c r="J576" s="2"/>
      <c r="K576" s="2"/>
    </row>
    <row r="577" spans="1:11" ht="13.8" x14ac:dyDescent="0.3">
      <c r="A577" s="3"/>
      <c r="E577" s="2"/>
      <c r="F577" s="2"/>
      <c r="G577" s="2"/>
      <c r="H577" s="2"/>
      <c r="I577" s="2"/>
      <c r="J577" s="2"/>
      <c r="K577" s="2"/>
    </row>
    <row r="578" spans="1:11" ht="13.8" x14ac:dyDescent="0.3">
      <c r="A578" s="3"/>
      <c r="E578" s="2"/>
      <c r="F578" s="2"/>
      <c r="G578" s="2"/>
      <c r="H578" s="2"/>
      <c r="I578" s="2"/>
      <c r="J578" s="2"/>
      <c r="K578" s="2"/>
    </row>
    <row r="579" spans="1:11" ht="13.8" x14ac:dyDescent="0.3">
      <c r="A579" s="3"/>
      <c r="E579" s="2"/>
      <c r="F579" s="2"/>
      <c r="G579" s="2"/>
      <c r="H579" s="2"/>
      <c r="I579" s="2"/>
      <c r="J579" s="2"/>
      <c r="K579" s="2"/>
    </row>
    <row r="580" spans="1:11" ht="13.8" x14ac:dyDescent="0.3">
      <c r="A580" s="3"/>
      <c r="E580" s="2"/>
      <c r="F580" s="2"/>
      <c r="G580" s="2"/>
      <c r="H580" s="2"/>
      <c r="I580" s="2"/>
      <c r="J580" s="2"/>
      <c r="K580" s="2"/>
    </row>
    <row r="581" spans="1:11" ht="13.8" x14ac:dyDescent="0.3">
      <c r="A581" s="3"/>
      <c r="E581" s="2"/>
      <c r="F581" s="2"/>
      <c r="G581" s="2"/>
      <c r="H581" s="2"/>
      <c r="I581" s="2"/>
      <c r="J581" s="2"/>
      <c r="K581" s="2"/>
    </row>
    <row r="582" spans="1:11" ht="13.8" x14ac:dyDescent="0.3">
      <c r="A582" s="3"/>
      <c r="E582" s="2"/>
      <c r="F582" s="2"/>
      <c r="G582" s="2"/>
      <c r="H582" s="2"/>
      <c r="I582" s="2"/>
      <c r="J582" s="2"/>
      <c r="K582" s="2"/>
    </row>
    <row r="583" spans="1:11" ht="13.8" x14ac:dyDescent="0.3">
      <c r="A583" s="3"/>
      <c r="E583" s="2"/>
      <c r="F583" s="2"/>
      <c r="G583" s="2"/>
      <c r="H583" s="2"/>
      <c r="I583" s="2"/>
      <c r="J583" s="2"/>
      <c r="K583" s="2"/>
    </row>
    <row r="584" spans="1:11" ht="13.8" x14ac:dyDescent="0.3">
      <c r="A584" s="3"/>
      <c r="E584" s="2"/>
      <c r="F584" s="2"/>
      <c r="G584" s="2"/>
      <c r="H584" s="2"/>
      <c r="I584" s="2"/>
      <c r="J584" s="2"/>
      <c r="K584" s="2"/>
    </row>
    <row r="585" spans="1:11" ht="13.8" x14ac:dyDescent="0.3">
      <c r="A585" s="3"/>
      <c r="E585" s="2"/>
      <c r="F585" s="2"/>
      <c r="G585" s="2"/>
      <c r="H585" s="2"/>
      <c r="I585" s="2"/>
      <c r="J585" s="2"/>
      <c r="K585" s="2"/>
    </row>
    <row r="586" spans="1:11" ht="13.8" x14ac:dyDescent="0.3">
      <c r="A586" s="3"/>
      <c r="E586" s="2"/>
      <c r="F586" s="2"/>
      <c r="G586" s="2"/>
      <c r="H586" s="2"/>
      <c r="I586" s="2"/>
      <c r="J586" s="2"/>
      <c r="K586" s="2"/>
    </row>
    <row r="587" spans="1:11" ht="13.8" x14ac:dyDescent="0.3">
      <c r="A587" s="3"/>
      <c r="E587" s="2"/>
      <c r="F587" s="2"/>
      <c r="G587" s="2"/>
      <c r="H587" s="2"/>
      <c r="I587" s="2"/>
      <c r="J587" s="2"/>
      <c r="K587" s="2"/>
    </row>
    <row r="588" spans="1:11" ht="13.8" x14ac:dyDescent="0.3">
      <c r="A588" s="3"/>
      <c r="E588" s="2"/>
      <c r="F588" s="2"/>
      <c r="G588" s="2"/>
      <c r="H588" s="2"/>
      <c r="I588" s="2"/>
      <c r="J588" s="2"/>
      <c r="K588" s="2"/>
    </row>
    <row r="589" spans="1:11" ht="13.8" x14ac:dyDescent="0.3">
      <c r="A589" s="3"/>
      <c r="E589" s="2"/>
      <c r="F589" s="2"/>
      <c r="G589" s="2"/>
      <c r="H589" s="2"/>
      <c r="I589" s="2"/>
      <c r="J589" s="2"/>
      <c r="K589" s="2"/>
    </row>
    <row r="590" spans="1:11" ht="13.8" x14ac:dyDescent="0.3">
      <c r="A590" s="3"/>
      <c r="E590" s="2"/>
      <c r="F590" s="2"/>
      <c r="G590" s="2"/>
      <c r="H590" s="2"/>
      <c r="I590" s="2"/>
      <c r="J590" s="2"/>
      <c r="K590" s="2"/>
    </row>
    <row r="591" spans="1:11" ht="13.8" x14ac:dyDescent="0.3">
      <c r="A591" s="3"/>
      <c r="E591" s="2"/>
      <c r="F591" s="2"/>
      <c r="G591" s="2"/>
      <c r="H591" s="2"/>
      <c r="I591" s="2"/>
      <c r="J591" s="2"/>
      <c r="K591" s="2"/>
    </row>
    <row r="592" spans="1:11" ht="13.8" x14ac:dyDescent="0.3">
      <c r="A592" s="3"/>
      <c r="E592" s="2"/>
      <c r="F592" s="2"/>
      <c r="G592" s="2"/>
      <c r="H592" s="2"/>
      <c r="I592" s="2"/>
      <c r="J592" s="2"/>
      <c r="K592" s="2"/>
    </row>
    <row r="593" spans="1:11" ht="13.8" x14ac:dyDescent="0.3">
      <c r="A593" s="3"/>
      <c r="E593" s="2"/>
      <c r="F593" s="2"/>
      <c r="G593" s="2"/>
      <c r="H593" s="2"/>
      <c r="I593" s="2"/>
      <c r="J593" s="2"/>
      <c r="K593" s="2"/>
    </row>
    <row r="594" spans="1:11" ht="13.8" x14ac:dyDescent="0.3">
      <c r="A594" s="3"/>
      <c r="E594" s="2"/>
      <c r="F594" s="2"/>
      <c r="G594" s="2"/>
      <c r="H594" s="2"/>
      <c r="I594" s="2"/>
      <c r="J594" s="2"/>
      <c r="K594" s="2"/>
    </row>
    <row r="595" spans="1:11" ht="13.8" x14ac:dyDescent="0.3">
      <c r="A595" s="3"/>
      <c r="E595" s="2"/>
      <c r="F595" s="2"/>
      <c r="G595" s="2"/>
      <c r="H595" s="2"/>
      <c r="I595" s="2"/>
      <c r="J595" s="2"/>
      <c r="K595" s="2"/>
    </row>
    <row r="596" spans="1:11" ht="13.8" x14ac:dyDescent="0.3">
      <c r="A596" s="3"/>
      <c r="E596" s="2"/>
      <c r="F596" s="2"/>
      <c r="G596" s="2"/>
      <c r="H596" s="2"/>
      <c r="I596" s="2"/>
      <c r="J596" s="2"/>
      <c r="K596" s="2"/>
    </row>
    <row r="597" spans="1:11" ht="13.8" x14ac:dyDescent="0.3">
      <c r="A597" s="3"/>
      <c r="E597" s="2"/>
      <c r="F597" s="2"/>
      <c r="G597" s="2"/>
      <c r="H597" s="2"/>
      <c r="I597" s="2"/>
      <c r="J597" s="2"/>
      <c r="K597" s="2"/>
    </row>
    <row r="598" spans="1:11" ht="13.8" x14ac:dyDescent="0.3">
      <c r="A598" s="3"/>
      <c r="E598" s="2"/>
      <c r="F598" s="2"/>
      <c r="G598" s="2"/>
      <c r="H598" s="2"/>
      <c r="I598" s="2"/>
      <c r="J598" s="2"/>
      <c r="K598" s="2"/>
    </row>
    <row r="599" spans="1:11" ht="13.8" x14ac:dyDescent="0.3">
      <c r="A599" s="3"/>
      <c r="E599" s="2"/>
      <c r="F599" s="2"/>
      <c r="G599" s="2"/>
      <c r="H599" s="2"/>
      <c r="I599" s="2"/>
      <c r="J599" s="2"/>
      <c r="K599" s="2"/>
    </row>
    <row r="600" spans="1:11" ht="13.8" x14ac:dyDescent="0.3">
      <c r="A600" s="3"/>
      <c r="E600" s="2"/>
      <c r="F600" s="2"/>
      <c r="G600" s="2"/>
      <c r="H600" s="2"/>
      <c r="I600" s="2"/>
      <c r="J600" s="2"/>
      <c r="K600" s="2"/>
    </row>
    <row r="601" spans="1:11" ht="13.8" x14ac:dyDescent="0.3">
      <c r="A601" s="3"/>
      <c r="E601" s="2"/>
      <c r="F601" s="2"/>
      <c r="G601" s="2"/>
      <c r="H601" s="2"/>
      <c r="I601" s="2"/>
      <c r="J601" s="2"/>
      <c r="K601" s="2"/>
    </row>
    <row r="602" spans="1:11" ht="13.8" x14ac:dyDescent="0.3">
      <c r="A602" s="3"/>
      <c r="E602" s="2"/>
      <c r="F602" s="2"/>
      <c r="G602" s="2"/>
      <c r="H602" s="2"/>
      <c r="I602" s="2"/>
      <c r="J602" s="2"/>
      <c r="K602" s="2"/>
    </row>
    <row r="603" spans="1:11" ht="13.8" x14ac:dyDescent="0.3">
      <c r="A603" s="3"/>
      <c r="E603" s="2"/>
      <c r="F603" s="2"/>
      <c r="G603" s="2"/>
      <c r="H603" s="2"/>
      <c r="I603" s="2"/>
      <c r="J603" s="2"/>
      <c r="K603" s="2"/>
    </row>
    <row r="604" spans="1:11" ht="13.8" x14ac:dyDescent="0.3">
      <c r="A604" s="3"/>
      <c r="E604" s="2"/>
      <c r="F604" s="2"/>
      <c r="G604" s="2"/>
      <c r="H604" s="2"/>
      <c r="I604" s="2"/>
      <c r="J604" s="2"/>
      <c r="K604" s="2"/>
    </row>
    <row r="605" spans="1:11" ht="13.8" x14ac:dyDescent="0.3">
      <c r="A605" s="3"/>
      <c r="E605" s="2"/>
      <c r="F605" s="2"/>
      <c r="G605" s="2"/>
      <c r="H605" s="2"/>
      <c r="I605" s="2"/>
      <c r="J605" s="2"/>
      <c r="K605" s="2"/>
    </row>
    <row r="606" spans="1:11" ht="13.8" x14ac:dyDescent="0.3">
      <c r="A606" s="3"/>
      <c r="E606" s="2"/>
      <c r="F606" s="2"/>
      <c r="G606" s="2"/>
      <c r="H606" s="2"/>
      <c r="I606" s="2"/>
      <c r="J606" s="2"/>
      <c r="K606" s="2"/>
    </row>
    <row r="607" spans="1:11" ht="13.8" x14ac:dyDescent="0.3">
      <c r="A607" s="3"/>
      <c r="E607" s="2"/>
      <c r="F607" s="2"/>
      <c r="G607" s="2"/>
      <c r="H607" s="2"/>
      <c r="I607" s="2"/>
      <c r="J607" s="2"/>
      <c r="K607" s="2"/>
    </row>
    <row r="608" spans="1:11" ht="13.8" x14ac:dyDescent="0.3">
      <c r="A608" s="3"/>
      <c r="E608" s="2"/>
      <c r="F608" s="2"/>
      <c r="G608" s="2"/>
      <c r="H608" s="2"/>
      <c r="I608" s="2"/>
      <c r="J608" s="2"/>
      <c r="K608" s="2"/>
    </row>
    <row r="609" spans="1:11" ht="13.8" x14ac:dyDescent="0.3">
      <c r="A609" s="3"/>
      <c r="E609" s="2"/>
      <c r="F609" s="2"/>
      <c r="G609" s="2"/>
      <c r="H609" s="2"/>
      <c r="I609" s="2"/>
      <c r="J609" s="2"/>
      <c r="K609" s="2"/>
    </row>
    <row r="610" spans="1:11" ht="13.8" x14ac:dyDescent="0.3">
      <c r="A610" s="3"/>
      <c r="E610" s="2"/>
      <c r="F610" s="2"/>
      <c r="G610" s="2"/>
      <c r="H610" s="2"/>
      <c r="I610" s="2"/>
      <c r="J610" s="2"/>
      <c r="K610" s="2"/>
    </row>
    <row r="611" spans="1:11" ht="13.8" x14ac:dyDescent="0.3">
      <c r="A611" s="3"/>
      <c r="E611" s="2"/>
      <c r="F611" s="2"/>
      <c r="G611" s="2"/>
      <c r="H611" s="2"/>
      <c r="I611" s="2"/>
      <c r="J611" s="2"/>
      <c r="K611" s="2"/>
    </row>
    <row r="612" spans="1:11" ht="13.8" x14ac:dyDescent="0.3">
      <c r="A612" s="3"/>
      <c r="E612" s="2"/>
      <c r="F612" s="2"/>
      <c r="G612" s="2"/>
      <c r="H612" s="2"/>
      <c r="I612" s="2"/>
      <c r="J612" s="2"/>
      <c r="K612" s="2"/>
    </row>
    <row r="613" spans="1:11" ht="13.8" x14ac:dyDescent="0.3">
      <c r="A613" s="3"/>
      <c r="E613" s="2"/>
      <c r="F613" s="2"/>
      <c r="G613" s="2"/>
      <c r="H613" s="2"/>
      <c r="I613" s="2"/>
      <c r="J613" s="2"/>
      <c r="K613" s="2"/>
    </row>
    <row r="614" spans="1:11" ht="13.8" x14ac:dyDescent="0.3">
      <c r="A614" s="3"/>
      <c r="E614" s="2"/>
      <c r="F614" s="2"/>
      <c r="G614" s="2"/>
      <c r="H614" s="2"/>
      <c r="I614" s="2"/>
      <c r="J614" s="2"/>
      <c r="K614" s="2"/>
    </row>
    <row r="615" spans="1:11" ht="13.8" x14ac:dyDescent="0.3">
      <c r="A615" s="3"/>
      <c r="E615" s="2"/>
      <c r="F615" s="2"/>
      <c r="G615" s="2"/>
      <c r="H615" s="2"/>
      <c r="I615" s="2"/>
      <c r="J615" s="2"/>
      <c r="K615" s="2"/>
    </row>
    <row r="616" spans="1:11" ht="13.8" x14ac:dyDescent="0.3">
      <c r="A616" s="3"/>
      <c r="E616" s="2"/>
      <c r="F616" s="2"/>
      <c r="G616" s="2"/>
      <c r="H616" s="2"/>
      <c r="I616" s="2"/>
      <c r="J616" s="2"/>
      <c r="K616" s="2"/>
    </row>
    <row r="617" spans="1:11" ht="13.8" x14ac:dyDescent="0.3">
      <c r="A617" s="3"/>
      <c r="E617" s="2"/>
      <c r="F617" s="2"/>
      <c r="G617" s="2"/>
      <c r="H617" s="2"/>
      <c r="I617" s="2"/>
      <c r="J617" s="2"/>
      <c r="K617" s="2"/>
    </row>
    <row r="618" spans="1:11" ht="13.8" x14ac:dyDescent="0.3">
      <c r="A618" s="3"/>
      <c r="E618" s="2"/>
      <c r="F618" s="2"/>
      <c r="G618" s="2"/>
      <c r="H618" s="2"/>
      <c r="I618" s="2"/>
      <c r="J618" s="2"/>
      <c r="K618" s="2"/>
    </row>
    <row r="619" spans="1:11" ht="13.8" x14ac:dyDescent="0.3">
      <c r="A619" s="3"/>
      <c r="E619" s="2"/>
      <c r="F619" s="2"/>
      <c r="G619" s="2"/>
      <c r="H619" s="2"/>
      <c r="I619" s="2"/>
      <c r="J619" s="2"/>
      <c r="K619" s="2"/>
    </row>
    <row r="620" spans="1:11" ht="13.8" x14ac:dyDescent="0.3">
      <c r="A620" s="3"/>
      <c r="E620" s="2"/>
      <c r="F620" s="2"/>
      <c r="G620" s="2"/>
      <c r="H620" s="2"/>
      <c r="I620" s="2"/>
      <c r="J620" s="2"/>
      <c r="K620" s="2"/>
    </row>
    <row r="621" spans="1:11" ht="13.8" x14ac:dyDescent="0.3">
      <c r="A621" s="3"/>
      <c r="E621" s="2"/>
      <c r="F621" s="2"/>
      <c r="G621" s="2"/>
      <c r="H621" s="2"/>
      <c r="I621" s="2"/>
      <c r="J621" s="2"/>
      <c r="K621" s="2"/>
    </row>
    <row r="622" spans="1:11" ht="13.8" x14ac:dyDescent="0.3">
      <c r="A622" s="3"/>
      <c r="E622" s="2"/>
      <c r="F622" s="2"/>
      <c r="G622" s="2"/>
      <c r="H622" s="2"/>
      <c r="I622" s="2"/>
      <c r="J622" s="2"/>
      <c r="K622" s="2"/>
    </row>
    <row r="623" spans="1:11" ht="13.8" x14ac:dyDescent="0.3">
      <c r="A623" s="3"/>
      <c r="E623" s="2"/>
      <c r="F623" s="2"/>
      <c r="G623" s="2"/>
      <c r="H623" s="2"/>
      <c r="I623" s="2"/>
      <c r="J623" s="2"/>
      <c r="K623" s="2"/>
    </row>
    <row r="624" spans="1:11" ht="13.8" x14ac:dyDescent="0.3">
      <c r="A624" s="3"/>
      <c r="E624" s="2"/>
      <c r="F624" s="2"/>
      <c r="G624" s="2"/>
      <c r="H624" s="2"/>
      <c r="I624" s="2"/>
      <c r="J624" s="2"/>
      <c r="K624" s="2"/>
    </row>
    <row r="625" spans="1:11" ht="13.8" x14ac:dyDescent="0.3">
      <c r="A625" s="3"/>
      <c r="E625" s="2"/>
      <c r="F625" s="2"/>
      <c r="G625" s="2"/>
      <c r="H625" s="2"/>
      <c r="I625" s="2"/>
      <c r="J625" s="2"/>
      <c r="K625" s="2"/>
    </row>
    <row r="626" spans="1:11" ht="13.8" x14ac:dyDescent="0.3">
      <c r="A626" s="3"/>
      <c r="E626" s="2"/>
      <c r="F626" s="2"/>
      <c r="G626" s="2"/>
      <c r="H626" s="2"/>
      <c r="I626" s="2"/>
      <c r="J626" s="2"/>
      <c r="K626" s="2"/>
    </row>
    <row r="627" spans="1:11" ht="13.8" x14ac:dyDescent="0.3">
      <c r="A627" s="3"/>
      <c r="E627" s="2"/>
      <c r="F627" s="2"/>
      <c r="G627" s="2"/>
      <c r="H627" s="2"/>
      <c r="I627" s="2"/>
      <c r="J627" s="2"/>
      <c r="K627" s="2"/>
    </row>
    <row r="628" spans="1:11" ht="13.8" x14ac:dyDescent="0.3">
      <c r="A628" s="3"/>
      <c r="E628" s="2"/>
      <c r="F628" s="2"/>
      <c r="G628" s="2"/>
      <c r="H628" s="2"/>
      <c r="I628" s="2"/>
      <c r="J628" s="2"/>
      <c r="K628" s="2"/>
    </row>
    <row r="629" spans="1:11" ht="13.8" x14ac:dyDescent="0.3">
      <c r="A629" s="3"/>
      <c r="E629" s="2"/>
      <c r="F629" s="2"/>
      <c r="G629" s="2"/>
      <c r="H629" s="2"/>
      <c r="I629" s="2"/>
      <c r="J629" s="2"/>
      <c r="K629" s="2"/>
    </row>
    <row r="630" spans="1:11" ht="13.8" x14ac:dyDescent="0.3">
      <c r="A630" s="3"/>
      <c r="E630" s="2"/>
      <c r="F630" s="2"/>
      <c r="G630" s="2"/>
      <c r="H630" s="2"/>
      <c r="I630" s="2"/>
      <c r="J630" s="2"/>
      <c r="K630" s="2"/>
    </row>
    <row r="631" spans="1:11" ht="13.8" x14ac:dyDescent="0.3">
      <c r="A631" s="3"/>
      <c r="E631" s="2"/>
      <c r="F631" s="2"/>
      <c r="G631" s="2"/>
      <c r="H631" s="2"/>
      <c r="I631" s="2"/>
      <c r="J631" s="2"/>
      <c r="K631" s="2"/>
    </row>
    <row r="632" spans="1:11" ht="13.8" x14ac:dyDescent="0.3">
      <c r="A632" s="3"/>
      <c r="E632" s="2"/>
      <c r="F632" s="2"/>
      <c r="G632" s="2"/>
      <c r="H632" s="2"/>
      <c r="I632" s="2"/>
      <c r="J632" s="2"/>
      <c r="K632" s="2"/>
    </row>
    <row r="633" spans="1:11" ht="13.8" x14ac:dyDescent="0.3">
      <c r="A633" s="3"/>
      <c r="E633" s="2"/>
      <c r="F633" s="2"/>
      <c r="G633" s="2"/>
      <c r="H633" s="2"/>
      <c r="I633" s="2"/>
      <c r="J633" s="2"/>
      <c r="K633" s="2"/>
    </row>
    <row r="634" spans="1:11" ht="13.8" x14ac:dyDescent="0.3">
      <c r="A634" s="3"/>
      <c r="E634" s="2"/>
      <c r="F634" s="2"/>
      <c r="G634" s="2"/>
      <c r="H634" s="2"/>
      <c r="I634" s="2"/>
      <c r="J634" s="2"/>
      <c r="K634" s="2"/>
    </row>
    <row r="635" spans="1:11" ht="13.8" x14ac:dyDescent="0.3">
      <c r="A635" s="3"/>
      <c r="E635" s="2"/>
      <c r="F635" s="2"/>
      <c r="G635" s="2"/>
      <c r="H635" s="2"/>
      <c r="I635" s="2"/>
      <c r="J635" s="2"/>
      <c r="K635" s="2"/>
    </row>
    <row r="636" spans="1:11" ht="13.8" x14ac:dyDescent="0.3">
      <c r="A636" s="3"/>
      <c r="E636" s="2"/>
      <c r="F636" s="2"/>
      <c r="G636" s="2"/>
      <c r="H636" s="2"/>
      <c r="I636" s="2"/>
      <c r="J636" s="2"/>
      <c r="K636" s="2"/>
    </row>
    <row r="637" spans="1:11" ht="13.8" x14ac:dyDescent="0.3">
      <c r="A637" s="3"/>
      <c r="E637" s="2"/>
      <c r="F637" s="2"/>
      <c r="G637" s="2"/>
      <c r="H637" s="2"/>
      <c r="I637" s="2"/>
      <c r="J637" s="2"/>
      <c r="K637" s="2"/>
    </row>
    <row r="638" spans="1:11" ht="13.8" x14ac:dyDescent="0.3">
      <c r="A638" s="3"/>
      <c r="E638" s="2"/>
      <c r="F638" s="2"/>
      <c r="G638" s="2"/>
      <c r="H638" s="2"/>
      <c r="I638" s="2"/>
      <c r="J638" s="2"/>
      <c r="K638" s="2"/>
    </row>
    <row r="639" spans="1:11" ht="13.8" x14ac:dyDescent="0.3">
      <c r="A639" s="3"/>
      <c r="E639" s="2"/>
      <c r="F639" s="2"/>
      <c r="G639" s="2"/>
      <c r="H639" s="2"/>
      <c r="I639" s="2"/>
      <c r="J639" s="2"/>
      <c r="K639" s="2"/>
    </row>
    <row r="640" spans="1:11" ht="13.8" x14ac:dyDescent="0.3">
      <c r="A640" s="3"/>
      <c r="E640" s="2"/>
      <c r="F640" s="2"/>
      <c r="G640" s="2"/>
      <c r="H640" s="2"/>
      <c r="I640" s="2"/>
      <c r="J640" s="2"/>
      <c r="K640" s="2"/>
    </row>
    <row r="641" spans="1:11" ht="13.8" x14ac:dyDescent="0.3">
      <c r="A641" s="3"/>
      <c r="E641" s="2"/>
      <c r="F641" s="2"/>
      <c r="G641" s="2"/>
      <c r="H641" s="2"/>
      <c r="I641" s="2"/>
      <c r="J641" s="2"/>
      <c r="K641" s="2"/>
    </row>
    <row r="642" spans="1:11" ht="13.8" x14ac:dyDescent="0.3">
      <c r="A642" s="3"/>
      <c r="E642" s="2"/>
      <c r="F642" s="2"/>
      <c r="G642" s="2"/>
      <c r="H642" s="2"/>
      <c r="I642" s="2"/>
      <c r="J642" s="2"/>
      <c r="K642" s="2"/>
    </row>
    <row r="643" spans="1:11" ht="13.8" x14ac:dyDescent="0.3">
      <c r="A643" s="3"/>
      <c r="E643" s="2"/>
      <c r="F643" s="2"/>
      <c r="G643" s="2"/>
      <c r="H643" s="2"/>
      <c r="I643" s="2"/>
      <c r="J643" s="2"/>
      <c r="K643" s="2"/>
    </row>
    <row r="644" spans="1:11" ht="13.8" x14ac:dyDescent="0.3">
      <c r="A644" s="3"/>
      <c r="E644" s="2"/>
      <c r="F644" s="2"/>
      <c r="G644" s="2"/>
      <c r="H644" s="2"/>
      <c r="I644" s="2"/>
      <c r="J644" s="2"/>
      <c r="K644" s="2"/>
    </row>
    <row r="645" spans="1:11" ht="13.8" x14ac:dyDescent="0.3">
      <c r="A645" s="3"/>
      <c r="E645" s="2"/>
      <c r="F645" s="2"/>
      <c r="G645" s="2"/>
      <c r="H645" s="2"/>
      <c r="I645" s="2"/>
      <c r="J645" s="2"/>
      <c r="K645" s="2"/>
    </row>
    <row r="646" spans="1:11" ht="13.8" x14ac:dyDescent="0.3">
      <c r="A646" s="3"/>
      <c r="E646" s="2"/>
      <c r="F646" s="2"/>
      <c r="G646" s="2"/>
      <c r="H646" s="2"/>
      <c r="I646" s="2"/>
      <c r="J646" s="2"/>
      <c r="K646" s="2"/>
    </row>
    <row r="647" spans="1:11" ht="13.8" x14ac:dyDescent="0.3">
      <c r="A647" s="3"/>
      <c r="E647" s="2"/>
      <c r="F647" s="2"/>
      <c r="G647" s="2"/>
      <c r="H647" s="2"/>
      <c r="I647" s="2"/>
      <c r="J647" s="2"/>
      <c r="K647" s="2"/>
    </row>
    <row r="648" spans="1:11" ht="13.8" x14ac:dyDescent="0.3">
      <c r="A648" s="3"/>
      <c r="E648" s="2"/>
      <c r="F648" s="2"/>
      <c r="G648" s="2"/>
      <c r="H648" s="2"/>
      <c r="I648" s="2"/>
      <c r="J648" s="2"/>
      <c r="K648" s="2"/>
    </row>
    <row r="649" spans="1:11" ht="13.8" x14ac:dyDescent="0.3">
      <c r="A649" s="3"/>
      <c r="E649" s="2"/>
      <c r="F649" s="2"/>
      <c r="G649" s="2"/>
      <c r="H649" s="2"/>
      <c r="I649" s="2"/>
      <c r="J649" s="2"/>
      <c r="K649" s="2"/>
    </row>
    <row r="650" spans="1:11" ht="13.8" x14ac:dyDescent="0.3">
      <c r="A650" s="3"/>
      <c r="E650" s="2"/>
      <c r="F650" s="2"/>
      <c r="G650" s="2"/>
      <c r="H650" s="2"/>
      <c r="I650" s="2"/>
      <c r="J650" s="2"/>
      <c r="K650" s="2"/>
    </row>
    <row r="651" spans="1:11" ht="13.8" x14ac:dyDescent="0.3">
      <c r="A651" s="3"/>
      <c r="E651" s="2"/>
      <c r="F651" s="2"/>
      <c r="G651" s="2"/>
      <c r="H651" s="2"/>
      <c r="I651" s="2"/>
      <c r="J651" s="2"/>
      <c r="K651" s="2"/>
    </row>
    <row r="652" spans="1:11" ht="13.8" x14ac:dyDescent="0.3">
      <c r="A652" s="3"/>
      <c r="E652" s="2"/>
      <c r="F652" s="2"/>
      <c r="G652" s="2"/>
      <c r="H652" s="2"/>
      <c r="I652" s="2"/>
      <c r="J652" s="2"/>
      <c r="K652" s="2"/>
    </row>
    <row r="653" spans="1:11" ht="13.8" x14ac:dyDescent="0.3">
      <c r="A653" s="3"/>
      <c r="E653" s="2"/>
      <c r="F653" s="2"/>
      <c r="G653" s="2"/>
      <c r="H653" s="2"/>
      <c r="I653" s="2"/>
      <c r="J653" s="2"/>
      <c r="K653" s="2"/>
    </row>
    <row r="654" spans="1:11" ht="13.8" x14ac:dyDescent="0.3">
      <c r="A654" s="3"/>
      <c r="E654" s="2"/>
      <c r="F654" s="2"/>
      <c r="G654" s="2"/>
      <c r="H654" s="2"/>
      <c r="I654" s="2"/>
      <c r="J654" s="2"/>
      <c r="K654" s="2"/>
    </row>
    <row r="655" spans="1:11" ht="13.8" x14ac:dyDescent="0.3">
      <c r="A655" s="3"/>
      <c r="E655" s="2"/>
      <c r="F655" s="2"/>
      <c r="G655" s="2"/>
      <c r="H655" s="2"/>
      <c r="I655" s="2"/>
      <c r="J655" s="2"/>
      <c r="K655" s="2"/>
    </row>
    <row r="656" spans="1:11" ht="13.8" x14ac:dyDescent="0.3">
      <c r="A656" s="3"/>
      <c r="E656" s="2"/>
      <c r="F656" s="2"/>
      <c r="G656" s="2"/>
      <c r="H656" s="2"/>
      <c r="I656" s="2"/>
      <c r="J656" s="2"/>
      <c r="K656" s="2"/>
    </row>
    <row r="657" spans="1:11" ht="13.8" x14ac:dyDescent="0.3">
      <c r="A657" s="3"/>
      <c r="E657" s="2"/>
      <c r="F657" s="2"/>
      <c r="G657" s="2"/>
      <c r="H657" s="2"/>
      <c r="I657" s="2"/>
      <c r="J657" s="2"/>
      <c r="K657" s="2"/>
    </row>
    <row r="658" spans="1:11" ht="13.8" x14ac:dyDescent="0.3">
      <c r="A658" s="3"/>
      <c r="E658" s="2"/>
      <c r="F658" s="2"/>
      <c r="G658" s="2"/>
      <c r="H658" s="2"/>
      <c r="I658" s="2"/>
      <c r="J658" s="2"/>
      <c r="K658" s="2"/>
    </row>
    <row r="659" spans="1:11" ht="13.8" x14ac:dyDescent="0.3">
      <c r="A659" s="3"/>
      <c r="E659" s="2"/>
      <c r="F659" s="2"/>
      <c r="G659" s="2"/>
      <c r="H659" s="2"/>
      <c r="I659" s="2"/>
      <c r="J659" s="2"/>
      <c r="K659" s="2"/>
    </row>
    <row r="660" spans="1:11" ht="13.8" x14ac:dyDescent="0.3">
      <c r="A660" s="3"/>
      <c r="E660" s="2"/>
      <c r="F660" s="2"/>
      <c r="G660" s="2"/>
      <c r="H660" s="2"/>
      <c r="I660" s="2"/>
      <c r="J660" s="2"/>
      <c r="K660" s="2"/>
    </row>
    <row r="661" spans="1:11" ht="13.8" x14ac:dyDescent="0.3">
      <c r="A661" s="3"/>
      <c r="E661" s="2"/>
      <c r="F661" s="2"/>
      <c r="G661" s="2"/>
      <c r="H661" s="2"/>
      <c r="I661" s="2"/>
      <c r="J661" s="2"/>
      <c r="K661" s="2"/>
    </row>
    <row r="662" spans="1:11" ht="13.8" x14ac:dyDescent="0.3">
      <c r="A662" s="3"/>
      <c r="E662" s="2"/>
      <c r="F662" s="2"/>
      <c r="G662" s="2"/>
      <c r="H662" s="2"/>
      <c r="I662" s="2"/>
      <c r="J662" s="2"/>
      <c r="K662" s="2"/>
    </row>
    <row r="663" spans="1:11" ht="13.8" x14ac:dyDescent="0.3">
      <c r="A663" s="3"/>
      <c r="E663" s="2"/>
      <c r="F663" s="2"/>
      <c r="G663" s="2"/>
      <c r="H663" s="2"/>
      <c r="I663" s="2"/>
      <c r="J663" s="2"/>
      <c r="K663" s="2"/>
    </row>
    <row r="664" spans="1:11" ht="13.8" x14ac:dyDescent="0.3">
      <c r="A664" s="3"/>
      <c r="E664" s="2"/>
      <c r="F664" s="2"/>
      <c r="G664" s="2"/>
      <c r="H664" s="2"/>
      <c r="I664" s="2"/>
      <c r="J664" s="2"/>
      <c r="K664" s="2"/>
    </row>
    <row r="665" spans="1:11" ht="13.8" x14ac:dyDescent="0.3">
      <c r="A665" s="3"/>
      <c r="E665" s="2"/>
      <c r="F665" s="2"/>
      <c r="G665" s="2"/>
      <c r="H665" s="2"/>
      <c r="I665" s="2"/>
      <c r="J665" s="2"/>
      <c r="K665" s="2"/>
    </row>
    <row r="666" spans="1:11" ht="13.8" x14ac:dyDescent="0.3">
      <c r="A666" s="3"/>
      <c r="E666" s="2"/>
      <c r="F666" s="2"/>
      <c r="G666" s="2"/>
      <c r="H666" s="2"/>
      <c r="I666" s="2"/>
      <c r="J666" s="2"/>
      <c r="K666" s="2"/>
    </row>
    <row r="667" spans="1:11" ht="13.8" x14ac:dyDescent="0.3">
      <c r="A667" s="3"/>
      <c r="E667" s="2"/>
      <c r="F667" s="2"/>
      <c r="G667" s="2"/>
      <c r="H667" s="2"/>
      <c r="I667" s="2"/>
      <c r="J667" s="2"/>
      <c r="K667" s="2"/>
    </row>
    <row r="668" spans="1:11" ht="13.8" x14ac:dyDescent="0.3">
      <c r="A668" s="3"/>
      <c r="E668" s="2"/>
      <c r="F668" s="2"/>
      <c r="G668" s="2"/>
      <c r="H668" s="2"/>
      <c r="I668" s="2"/>
      <c r="J668" s="2"/>
      <c r="K668" s="2"/>
    </row>
    <row r="669" spans="1:11" ht="13.8" x14ac:dyDescent="0.3">
      <c r="A669" s="3"/>
      <c r="E669" s="2"/>
      <c r="F669" s="2"/>
      <c r="G669" s="2"/>
      <c r="H669" s="2"/>
      <c r="I669" s="2"/>
      <c r="J669" s="2"/>
      <c r="K669" s="2"/>
    </row>
    <row r="670" spans="1:11" ht="13.8" x14ac:dyDescent="0.3">
      <c r="A670" s="3"/>
      <c r="E670" s="2"/>
      <c r="F670" s="2"/>
      <c r="G670" s="2"/>
      <c r="H670" s="2"/>
      <c r="I670" s="2"/>
      <c r="J670" s="2"/>
      <c r="K670" s="2"/>
    </row>
    <row r="671" spans="1:11" ht="13.8" x14ac:dyDescent="0.3">
      <c r="A671" s="3"/>
      <c r="E671" s="2"/>
      <c r="F671" s="2"/>
      <c r="G671" s="2"/>
      <c r="H671" s="2"/>
      <c r="I671" s="2"/>
      <c r="J671" s="2"/>
      <c r="K671" s="2"/>
    </row>
    <row r="672" spans="1:11" ht="13.8" x14ac:dyDescent="0.3">
      <c r="A672" s="3"/>
      <c r="E672" s="2"/>
      <c r="F672" s="2"/>
      <c r="G672" s="2"/>
      <c r="H672" s="2"/>
      <c r="I672" s="2"/>
      <c r="J672" s="2"/>
      <c r="K672" s="2"/>
    </row>
    <row r="673" spans="1:11" ht="13.8" x14ac:dyDescent="0.3">
      <c r="A673" s="3"/>
      <c r="E673" s="2"/>
      <c r="F673" s="2"/>
      <c r="G673" s="2"/>
      <c r="H673" s="2"/>
      <c r="I673" s="2"/>
      <c r="J673" s="2"/>
      <c r="K673" s="2"/>
    </row>
    <row r="674" spans="1:11" ht="13.8" x14ac:dyDescent="0.3">
      <c r="A674" s="3"/>
      <c r="E674" s="2"/>
      <c r="F674" s="2"/>
      <c r="G674" s="2"/>
      <c r="H674" s="2"/>
      <c r="I674" s="2"/>
      <c r="J674" s="2"/>
      <c r="K674" s="2"/>
    </row>
    <row r="675" spans="1:11" ht="13.8" x14ac:dyDescent="0.3">
      <c r="A675" s="3"/>
      <c r="E675" s="2"/>
      <c r="F675" s="2"/>
      <c r="G675" s="2"/>
      <c r="H675" s="2"/>
      <c r="I675" s="2"/>
      <c r="J675" s="2"/>
      <c r="K675" s="2"/>
    </row>
    <row r="676" spans="1:11" ht="13.8" x14ac:dyDescent="0.3">
      <c r="A676" s="3"/>
      <c r="E676" s="2"/>
      <c r="F676" s="2"/>
      <c r="G676" s="2"/>
      <c r="H676" s="2"/>
      <c r="I676" s="2"/>
      <c r="J676" s="2"/>
      <c r="K676" s="2"/>
    </row>
    <row r="677" spans="1:11" ht="13.8" x14ac:dyDescent="0.3">
      <c r="A677" s="3"/>
      <c r="E677" s="2"/>
      <c r="F677" s="2"/>
      <c r="G677" s="2"/>
      <c r="H677" s="2"/>
      <c r="I677" s="2"/>
      <c r="J677" s="2"/>
      <c r="K677" s="2"/>
    </row>
    <row r="678" spans="1:11" ht="13.8" x14ac:dyDescent="0.3">
      <c r="A678" s="3"/>
      <c r="E678" s="2"/>
      <c r="F678" s="2"/>
      <c r="G678" s="2"/>
      <c r="H678" s="2"/>
      <c r="I678" s="2"/>
      <c r="J678" s="2"/>
      <c r="K678" s="2"/>
    </row>
    <row r="679" spans="1:11" ht="13.8" x14ac:dyDescent="0.3">
      <c r="A679" s="3"/>
      <c r="E679" s="2"/>
      <c r="F679" s="2"/>
      <c r="G679" s="2"/>
      <c r="H679" s="2"/>
      <c r="I679" s="2"/>
      <c r="J679" s="2"/>
      <c r="K679" s="2"/>
    </row>
    <row r="680" spans="1:11" ht="13.8" x14ac:dyDescent="0.3">
      <c r="A680" s="3"/>
      <c r="E680" s="2"/>
      <c r="F680" s="2"/>
      <c r="G680" s="2"/>
      <c r="H680" s="2"/>
      <c r="I680" s="2"/>
      <c r="J680" s="2"/>
      <c r="K680" s="2"/>
    </row>
    <row r="681" spans="1:11" ht="13.8" x14ac:dyDescent="0.3">
      <c r="A681" s="3"/>
      <c r="E681" s="2"/>
      <c r="F681" s="2"/>
      <c r="G681" s="2"/>
      <c r="H681" s="2"/>
      <c r="I681" s="2"/>
      <c r="J681" s="2"/>
      <c r="K681" s="2"/>
    </row>
    <row r="682" spans="1:11" ht="13.8" x14ac:dyDescent="0.3">
      <c r="A682" s="3"/>
      <c r="E682" s="2"/>
      <c r="F682" s="2"/>
      <c r="G682" s="2"/>
      <c r="H682" s="2"/>
      <c r="I682" s="2"/>
      <c r="J682" s="2"/>
      <c r="K682" s="2"/>
    </row>
    <row r="683" spans="1:11" ht="13.8" x14ac:dyDescent="0.3">
      <c r="A683" s="3"/>
      <c r="E683" s="2"/>
      <c r="F683" s="2"/>
      <c r="G683" s="2"/>
      <c r="H683" s="2"/>
      <c r="I683" s="2"/>
      <c r="J683" s="2"/>
      <c r="K683" s="2"/>
    </row>
    <row r="684" spans="1:11" ht="13.8" x14ac:dyDescent="0.3">
      <c r="A684" s="3"/>
      <c r="E684" s="2"/>
      <c r="F684" s="2"/>
      <c r="G684" s="2"/>
      <c r="H684" s="2"/>
      <c r="I684" s="2"/>
      <c r="J684" s="2"/>
      <c r="K684" s="2"/>
    </row>
    <row r="685" spans="1:11" ht="13.8" x14ac:dyDescent="0.3">
      <c r="A685" s="3"/>
      <c r="E685" s="2"/>
      <c r="F685" s="2"/>
      <c r="G685" s="2"/>
      <c r="H685" s="2"/>
      <c r="I685" s="2"/>
      <c r="J685" s="2"/>
      <c r="K685" s="2"/>
    </row>
    <row r="686" spans="1:11" ht="13.8" x14ac:dyDescent="0.3">
      <c r="A686" s="3"/>
      <c r="E686" s="2"/>
      <c r="F686" s="2"/>
      <c r="G686" s="2"/>
      <c r="H686" s="2"/>
      <c r="I686" s="2"/>
      <c r="J686" s="2"/>
      <c r="K686" s="2"/>
    </row>
    <row r="687" spans="1:11" ht="13.8" x14ac:dyDescent="0.3">
      <c r="A687" s="3"/>
      <c r="E687" s="2"/>
      <c r="F687" s="2"/>
      <c r="G687" s="2"/>
      <c r="H687" s="2"/>
      <c r="I687" s="2"/>
      <c r="J687" s="2"/>
      <c r="K687" s="2"/>
    </row>
    <row r="688" spans="1:11" ht="13.8" x14ac:dyDescent="0.3">
      <c r="A688" s="3"/>
      <c r="E688" s="2"/>
      <c r="F688" s="2"/>
      <c r="G688" s="2"/>
      <c r="H688" s="2"/>
      <c r="I688" s="2"/>
      <c r="J688" s="2"/>
      <c r="K688" s="2"/>
    </row>
    <row r="689" spans="1:11" ht="13.8" x14ac:dyDescent="0.3">
      <c r="A689" s="3"/>
      <c r="E689" s="2"/>
      <c r="F689" s="2"/>
      <c r="G689" s="2"/>
      <c r="H689" s="2"/>
      <c r="I689" s="2"/>
      <c r="J689" s="2"/>
      <c r="K689" s="2"/>
    </row>
    <row r="690" spans="1:11" ht="13.8" x14ac:dyDescent="0.3">
      <c r="A690" s="3"/>
      <c r="E690" s="2"/>
      <c r="F690" s="2"/>
      <c r="G690" s="2"/>
      <c r="H690" s="2"/>
      <c r="I690" s="2"/>
      <c r="J690" s="2"/>
      <c r="K690" s="2"/>
    </row>
    <row r="691" spans="1:11" ht="13.8" x14ac:dyDescent="0.3">
      <c r="A691" s="3"/>
      <c r="E691" s="2"/>
      <c r="F691" s="2"/>
      <c r="G691" s="2"/>
      <c r="H691" s="2"/>
      <c r="I691" s="2"/>
      <c r="J691" s="2"/>
      <c r="K691" s="2"/>
    </row>
    <row r="692" spans="1:11" ht="13.8" x14ac:dyDescent="0.3">
      <c r="A692" s="3"/>
      <c r="E692" s="2"/>
      <c r="F692" s="2"/>
      <c r="G692" s="2"/>
      <c r="H692" s="2"/>
      <c r="I692" s="2"/>
      <c r="J692" s="2"/>
      <c r="K692" s="2"/>
    </row>
    <row r="693" spans="1:11" ht="13.8" x14ac:dyDescent="0.3">
      <c r="A693" s="3"/>
      <c r="E693" s="2"/>
      <c r="F693" s="2"/>
      <c r="G693" s="2"/>
      <c r="H693" s="2"/>
      <c r="I693" s="2"/>
      <c r="J693" s="2"/>
      <c r="K693" s="2"/>
    </row>
    <row r="694" spans="1:11" ht="13.8" x14ac:dyDescent="0.3">
      <c r="A694" s="3"/>
      <c r="E694" s="2"/>
      <c r="F694" s="2"/>
      <c r="G694" s="2"/>
      <c r="H694" s="2"/>
      <c r="I694" s="2"/>
      <c r="J694" s="2"/>
      <c r="K694" s="2"/>
    </row>
    <row r="695" spans="1:11" ht="13.8" x14ac:dyDescent="0.3">
      <c r="A695" s="3"/>
      <c r="E695" s="2"/>
      <c r="F695" s="2"/>
      <c r="G695" s="2"/>
      <c r="H695" s="2"/>
      <c r="I695" s="2"/>
      <c r="J695" s="2"/>
      <c r="K695" s="2"/>
    </row>
    <row r="696" spans="1:11" ht="13.8" x14ac:dyDescent="0.3">
      <c r="A696" s="3"/>
      <c r="E696" s="2"/>
      <c r="F696" s="2"/>
      <c r="G696" s="2"/>
      <c r="H696" s="2"/>
      <c r="I696" s="2"/>
      <c r="J696" s="2"/>
      <c r="K696" s="2"/>
    </row>
    <row r="697" spans="1:11" ht="13.8" x14ac:dyDescent="0.3">
      <c r="A697" s="3"/>
      <c r="E697" s="2"/>
      <c r="F697" s="2"/>
      <c r="G697" s="2"/>
      <c r="H697" s="2"/>
      <c r="I697" s="2"/>
      <c r="J697" s="2"/>
      <c r="K697" s="2"/>
    </row>
    <row r="698" spans="1:11" ht="13.8" x14ac:dyDescent="0.3">
      <c r="A698" s="3"/>
      <c r="E698" s="2"/>
      <c r="F698" s="2"/>
      <c r="G698" s="2"/>
      <c r="H698" s="2"/>
      <c r="I698" s="2"/>
      <c r="J698" s="2"/>
      <c r="K698" s="2"/>
    </row>
    <row r="699" spans="1:11" ht="13.8" x14ac:dyDescent="0.3">
      <c r="A699" s="3"/>
      <c r="E699" s="2"/>
      <c r="F699" s="2"/>
      <c r="G699" s="2"/>
      <c r="H699" s="2"/>
      <c r="I699" s="2"/>
      <c r="J699" s="2"/>
      <c r="K699" s="2"/>
    </row>
    <row r="700" spans="1:11" ht="13.8" x14ac:dyDescent="0.3">
      <c r="A700" s="3"/>
      <c r="E700" s="2"/>
      <c r="F700" s="2"/>
      <c r="G700" s="2"/>
      <c r="H700" s="2"/>
      <c r="I700" s="2"/>
      <c r="J700" s="2"/>
      <c r="K700" s="2"/>
    </row>
    <row r="701" spans="1:11" ht="13.8" x14ac:dyDescent="0.3">
      <c r="A701" s="3"/>
      <c r="E701" s="2"/>
      <c r="F701" s="2"/>
      <c r="G701" s="2"/>
      <c r="H701" s="2"/>
      <c r="I701" s="2"/>
      <c r="J701" s="2"/>
      <c r="K701" s="2"/>
    </row>
    <row r="702" spans="1:11" ht="13.8" x14ac:dyDescent="0.3">
      <c r="A702" s="3"/>
      <c r="E702" s="2"/>
      <c r="F702" s="2"/>
      <c r="G702" s="2"/>
      <c r="H702" s="2"/>
      <c r="I702" s="2"/>
      <c r="J702" s="2"/>
      <c r="K702" s="2"/>
    </row>
    <row r="703" spans="1:11" ht="13.8" x14ac:dyDescent="0.3">
      <c r="A703" s="3"/>
      <c r="E703" s="2"/>
      <c r="F703" s="2"/>
      <c r="G703" s="2"/>
      <c r="H703" s="2"/>
      <c r="I703" s="2"/>
      <c r="J703" s="2"/>
      <c r="K703" s="2"/>
    </row>
    <row r="704" spans="1:11" ht="13.8" x14ac:dyDescent="0.3">
      <c r="A704" s="3"/>
      <c r="E704" s="2"/>
      <c r="F704" s="2"/>
      <c r="G704" s="2"/>
      <c r="H704" s="2"/>
      <c r="I704" s="2"/>
      <c r="J704" s="2"/>
      <c r="K704" s="2"/>
    </row>
    <row r="705" spans="1:11" ht="13.8" x14ac:dyDescent="0.3">
      <c r="A705" s="3"/>
      <c r="E705" s="2"/>
      <c r="F705" s="2"/>
      <c r="G705" s="2"/>
      <c r="H705" s="2"/>
      <c r="I705" s="2"/>
      <c r="J705" s="2"/>
      <c r="K705" s="2"/>
    </row>
    <row r="706" spans="1:11" ht="13.8" x14ac:dyDescent="0.3">
      <c r="A706" s="3"/>
      <c r="E706" s="2"/>
      <c r="F706" s="2"/>
      <c r="G706" s="2"/>
      <c r="H706" s="2"/>
      <c r="I706" s="2"/>
      <c r="J706" s="2"/>
      <c r="K706" s="2"/>
    </row>
    <row r="707" spans="1:11" ht="13.8" x14ac:dyDescent="0.3">
      <c r="A707" s="3"/>
      <c r="E707" s="2"/>
      <c r="F707" s="2"/>
      <c r="G707" s="2"/>
      <c r="H707" s="2"/>
      <c r="I707" s="2"/>
      <c r="J707" s="2"/>
      <c r="K707" s="2"/>
    </row>
    <row r="708" spans="1:11" ht="13.8" x14ac:dyDescent="0.3">
      <c r="A708" s="3"/>
      <c r="E708" s="2"/>
      <c r="F708" s="2"/>
      <c r="G708" s="2"/>
      <c r="H708" s="2"/>
      <c r="I708" s="2"/>
      <c r="J708" s="2"/>
      <c r="K708" s="2"/>
    </row>
    <row r="709" spans="1:11" ht="13.8" x14ac:dyDescent="0.3">
      <c r="A709" s="3"/>
      <c r="E709" s="2"/>
      <c r="F709" s="2"/>
      <c r="G709" s="2"/>
      <c r="H709" s="2"/>
      <c r="I709" s="2"/>
      <c r="J709" s="2"/>
      <c r="K709" s="2"/>
    </row>
    <row r="710" spans="1:11" ht="13.8" x14ac:dyDescent="0.3">
      <c r="A710" s="3"/>
      <c r="E710" s="2"/>
      <c r="F710" s="2"/>
      <c r="G710" s="2"/>
      <c r="H710" s="2"/>
      <c r="I710" s="2"/>
      <c r="J710" s="2"/>
      <c r="K710" s="2"/>
    </row>
    <row r="711" spans="1:11" ht="13.8" x14ac:dyDescent="0.3">
      <c r="A711" s="3"/>
      <c r="E711" s="2"/>
      <c r="F711" s="2"/>
      <c r="G711" s="2"/>
      <c r="H711" s="2"/>
      <c r="I711" s="2"/>
      <c r="J711" s="2"/>
      <c r="K711" s="2"/>
    </row>
    <row r="712" spans="1:11" ht="13.8" x14ac:dyDescent="0.3">
      <c r="A712" s="3"/>
      <c r="E712" s="2"/>
      <c r="F712" s="2"/>
      <c r="G712" s="2"/>
      <c r="H712" s="2"/>
      <c r="I712" s="2"/>
      <c r="J712" s="2"/>
      <c r="K712" s="2"/>
    </row>
    <row r="713" spans="1:11" ht="13.8" x14ac:dyDescent="0.3">
      <c r="A713" s="3"/>
      <c r="E713" s="2"/>
      <c r="F713" s="2"/>
      <c r="G713" s="2"/>
      <c r="H713" s="2"/>
      <c r="I713" s="2"/>
      <c r="J713" s="2"/>
      <c r="K713" s="2"/>
    </row>
    <row r="714" spans="1:11" ht="13.8" x14ac:dyDescent="0.3">
      <c r="A714" s="3"/>
      <c r="E714" s="2"/>
      <c r="F714" s="2"/>
      <c r="G714" s="2"/>
      <c r="H714" s="2"/>
      <c r="I714" s="2"/>
      <c r="J714" s="2"/>
      <c r="K714" s="2"/>
    </row>
    <row r="715" spans="1:11" ht="13.8" x14ac:dyDescent="0.3">
      <c r="A715" s="3"/>
      <c r="E715" s="2"/>
      <c r="F715" s="2"/>
      <c r="G715" s="2"/>
      <c r="H715" s="2"/>
      <c r="I715" s="2"/>
      <c r="J715" s="2"/>
      <c r="K715" s="2"/>
    </row>
    <row r="716" spans="1:11" ht="13.8" x14ac:dyDescent="0.3">
      <c r="A716" s="3"/>
      <c r="E716" s="2"/>
      <c r="F716" s="2"/>
      <c r="G716" s="2"/>
      <c r="H716" s="2"/>
      <c r="I716" s="2"/>
      <c r="J716" s="2"/>
      <c r="K716" s="2"/>
    </row>
    <row r="717" spans="1:11" ht="13.8" x14ac:dyDescent="0.3">
      <c r="A717" s="3"/>
      <c r="E717" s="2"/>
      <c r="F717" s="2"/>
      <c r="G717" s="2"/>
      <c r="H717" s="2"/>
      <c r="I717" s="2"/>
      <c r="J717" s="2"/>
      <c r="K717" s="2"/>
    </row>
    <row r="718" spans="1:11" ht="13.8" x14ac:dyDescent="0.3">
      <c r="A718" s="3"/>
      <c r="E718" s="2"/>
      <c r="F718" s="2"/>
      <c r="G718" s="2"/>
      <c r="H718" s="2"/>
      <c r="I718" s="2"/>
      <c r="J718" s="2"/>
      <c r="K718" s="2"/>
    </row>
    <row r="719" spans="1:11" ht="13.8" x14ac:dyDescent="0.3">
      <c r="A719" s="3"/>
      <c r="E719" s="2"/>
      <c r="F719" s="2"/>
      <c r="G719" s="2"/>
      <c r="H719" s="2"/>
      <c r="I719" s="2"/>
      <c r="J719" s="2"/>
      <c r="K719" s="2"/>
    </row>
    <row r="720" spans="1:11" ht="13.8" x14ac:dyDescent="0.3">
      <c r="A720" s="3"/>
      <c r="E720" s="2"/>
      <c r="F720" s="2"/>
      <c r="G720" s="2"/>
      <c r="H720" s="2"/>
      <c r="I720" s="2"/>
      <c r="J720" s="2"/>
      <c r="K720" s="2"/>
    </row>
    <row r="721" spans="1:11" ht="13.8" x14ac:dyDescent="0.3">
      <c r="A721" s="3"/>
      <c r="E721" s="2"/>
      <c r="F721" s="2"/>
      <c r="G721" s="2"/>
      <c r="H721" s="2"/>
      <c r="I721" s="2"/>
      <c r="J721" s="2"/>
      <c r="K721" s="2"/>
    </row>
    <row r="722" spans="1:11" ht="13.8" x14ac:dyDescent="0.3">
      <c r="A722" s="3"/>
      <c r="E722" s="2"/>
      <c r="F722" s="2"/>
      <c r="G722" s="2"/>
      <c r="H722" s="2"/>
      <c r="I722" s="2"/>
      <c r="J722" s="2"/>
      <c r="K722" s="2"/>
    </row>
    <row r="723" spans="1:11" ht="13.8" x14ac:dyDescent="0.3">
      <c r="A723" s="3"/>
      <c r="E723" s="2"/>
      <c r="F723" s="2"/>
      <c r="G723" s="2"/>
      <c r="H723" s="2"/>
      <c r="I723" s="2"/>
      <c r="J723" s="2"/>
      <c r="K723" s="2"/>
    </row>
    <row r="724" spans="1:11" ht="13.8" x14ac:dyDescent="0.3">
      <c r="A724" s="3"/>
      <c r="E724" s="2"/>
      <c r="F724" s="2"/>
      <c r="G724" s="2"/>
      <c r="H724" s="2"/>
      <c r="I724" s="2"/>
      <c r="J724" s="2"/>
      <c r="K724" s="2"/>
    </row>
    <row r="725" spans="1:11" ht="13.8" x14ac:dyDescent="0.3">
      <c r="A725" s="3"/>
      <c r="E725" s="2"/>
      <c r="F725" s="2"/>
      <c r="G725" s="2"/>
      <c r="H725" s="2"/>
      <c r="I725" s="2"/>
      <c r="J725" s="2"/>
      <c r="K725" s="2"/>
    </row>
    <row r="726" spans="1:11" ht="13.8" x14ac:dyDescent="0.3">
      <c r="A726" s="3"/>
      <c r="E726" s="2"/>
      <c r="F726" s="2"/>
      <c r="G726" s="2"/>
      <c r="H726" s="2"/>
      <c r="I726" s="2"/>
      <c r="J726" s="2"/>
      <c r="K726" s="2"/>
    </row>
    <row r="727" spans="1:11" ht="13.8" x14ac:dyDescent="0.3">
      <c r="A727" s="3"/>
      <c r="E727" s="2"/>
      <c r="F727" s="2"/>
      <c r="G727" s="2"/>
      <c r="H727" s="2"/>
      <c r="I727" s="2"/>
      <c r="J727" s="2"/>
      <c r="K727" s="2"/>
    </row>
    <row r="728" spans="1:11" ht="13.8" x14ac:dyDescent="0.3">
      <c r="A728" s="3"/>
      <c r="E728" s="2"/>
      <c r="F728" s="2"/>
      <c r="G728" s="2"/>
      <c r="H728" s="2"/>
      <c r="I728" s="2"/>
      <c r="J728" s="2"/>
      <c r="K728" s="2"/>
    </row>
    <row r="729" spans="1:11" ht="13.8" x14ac:dyDescent="0.3">
      <c r="A729" s="3"/>
      <c r="E729" s="2"/>
      <c r="F729" s="2"/>
      <c r="G729" s="2"/>
      <c r="H729" s="2"/>
      <c r="I729" s="2"/>
      <c r="J729" s="2"/>
      <c r="K729" s="2"/>
    </row>
    <row r="730" spans="1:11" ht="13.8" x14ac:dyDescent="0.3">
      <c r="A730" s="3"/>
      <c r="E730" s="2"/>
      <c r="F730" s="2"/>
      <c r="G730" s="2"/>
      <c r="H730" s="2"/>
      <c r="I730" s="2"/>
      <c r="J730" s="2"/>
      <c r="K730" s="2"/>
    </row>
    <row r="731" spans="1:11" ht="13.8" x14ac:dyDescent="0.3">
      <c r="A731" s="3"/>
      <c r="E731" s="2"/>
      <c r="F731" s="2"/>
      <c r="G731" s="2"/>
      <c r="H731" s="2"/>
      <c r="I731" s="2"/>
      <c r="J731" s="2"/>
      <c r="K731" s="2"/>
    </row>
    <row r="732" spans="1:11" ht="13.8" x14ac:dyDescent="0.3">
      <c r="A732" s="3"/>
      <c r="E732" s="2"/>
      <c r="F732" s="2"/>
      <c r="G732" s="2"/>
      <c r="H732" s="2"/>
      <c r="I732" s="2"/>
      <c r="J732" s="2"/>
      <c r="K732" s="2"/>
    </row>
    <row r="733" spans="1:11" ht="13.8" x14ac:dyDescent="0.3">
      <c r="A733" s="3"/>
      <c r="E733" s="2"/>
      <c r="F733" s="2"/>
      <c r="G733" s="2"/>
      <c r="H733" s="2"/>
      <c r="I733" s="2"/>
      <c r="J733" s="2"/>
      <c r="K733" s="2"/>
    </row>
    <row r="734" spans="1:11" ht="13.8" x14ac:dyDescent="0.3">
      <c r="A734" s="3"/>
      <c r="E734" s="2"/>
      <c r="F734" s="2"/>
      <c r="G734" s="2"/>
      <c r="H734" s="2"/>
      <c r="I734" s="2"/>
      <c r="J734" s="2"/>
      <c r="K734" s="2"/>
    </row>
    <row r="735" spans="1:11" ht="13.8" x14ac:dyDescent="0.3">
      <c r="A735" s="3"/>
      <c r="E735" s="2"/>
      <c r="F735" s="2"/>
      <c r="G735" s="2"/>
      <c r="H735" s="2"/>
      <c r="I735" s="2"/>
      <c r="J735" s="2"/>
      <c r="K735" s="2"/>
    </row>
    <row r="736" spans="1:11" ht="13.8" x14ac:dyDescent="0.3">
      <c r="A736" s="3"/>
      <c r="E736" s="2"/>
      <c r="F736" s="2"/>
      <c r="G736" s="2"/>
      <c r="H736" s="2"/>
      <c r="I736" s="2"/>
      <c r="J736" s="2"/>
      <c r="K736" s="2"/>
    </row>
    <row r="737" spans="1:11" ht="13.8" x14ac:dyDescent="0.3">
      <c r="A737" s="3"/>
      <c r="E737" s="2"/>
      <c r="F737" s="2"/>
      <c r="G737" s="2"/>
      <c r="H737" s="2"/>
      <c r="I737" s="2"/>
      <c r="J737" s="2"/>
      <c r="K737" s="2"/>
    </row>
    <row r="738" spans="1:11" ht="13.8" x14ac:dyDescent="0.3">
      <c r="A738" s="3"/>
      <c r="E738" s="2"/>
      <c r="F738" s="2"/>
      <c r="G738" s="2"/>
      <c r="H738" s="2"/>
      <c r="I738" s="2"/>
      <c r="J738" s="2"/>
      <c r="K738" s="2"/>
    </row>
    <row r="739" spans="1:11" ht="13.8" x14ac:dyDescent="0.3">
      <c r="A739" s="3"/>
      <c r="E739" s="2"/>
      <c r="F739" s="2"/>
      <c r="G739" s="2"/>
      <c r="H739" s="2"/>
      <c r="I739" s="2"/>
      <c r="J739" s="2"/>
      <c r="K739" s="2"/>
    </row>
    <row r="740" spans="1:11" ht="13.8" x14ac:dyDescent="0.3">
      <c r="A740" s="3"/>
      <c r="E740" s="2"/>
      <c r="F740" s="2"/>
      <c r="G740" s="2"/>
      <c r="H740" s="2"/>
      <c r="I740" s="2"/>
      <c r="J740" s="2"/>
      <c r="K740" s="2"/>
    </row>
    <row r="741" spans="1:11" ht="13.8" x14ac:dyDescent="0.3">
      <c r="A741" s="3"/>
      <c r="E741" s="2"/>
      <c r="F741" s="2"/>
      <c r="G741" s="2"/>
      <c r="H741" s="2"/>
      <c r="I741" s="2"/>
      <c r="J741" s="2"/>
      <c r="K741" s="2"/>
    </row>
    <row r="742" spans="1:11" ht="13.8" x14ac:dyDescent="0.3">
      <c r="A742" s="3"/>
      <c r="E742" s="2"/>
      <c r="F742" s="2"/>
      <c r="G742" s="2"/>
      <c r="H742" s="2"/>
      <c r="I742" s="2"/>
      <c r="J742" s="2"/>
      <c r="K742" s="2"/>
    </row>
    <row r="743" spans="1:11" ht="13.8" x14ac:dyDescent="0.3">
      <c r="A743" s="3"/>
      <c r="E743" s="2"/>
      <c r="F743" s="2"/>
      <c r="G743" s="2"/>
      <c r="H743" s="2"/>
      <c r="I743" s="2"/>
      <c r="J743" s="2"/>
      <c r="K743" s="2"/>
    </row>
    <row r="744" spans="1:11" ht="13.8" x14ac:dyDescent="0.3">
      <c r="A744" s="3"/>
      <c r="E744" s="2"/>
      <c r="F744" s="2"/>
      <c r="G744" s="2"/>
      <c r="H744" s="2"/>
      <c r="I744" s="2"/>
      <c r="J744" s="2"/>
      <c r="K744" s="2"/>
    </row>
    <row r="745" spans="1:11" ht="13.8" x14ac:dyDescent="0.3">
      <c r="A745" s="3"/>
      <c r="E745" s="2"/>
      <c r="F745" s="2"/>
      <c r="G745" s="2"/>
      <c r="H745" s="2"/>
      <c r="I745" s="2"/>
      <c r="J745" s="2"/>
      <c r="K745" s="2"/>
    </row>
    <row r="746" spans="1:11" ht="13.8" x14ac:dyDescent="0.3">
      <c r="A746" s="3"/>
      <c r="E746" s="2"/>
      <c r="F746" s="2"/>
      <c r="G746" s="2"/>
      <c r="H746" s="2"/>
      <c r="I746" s="2"/>
      <c r="J746" s="2"/>
      <c r="K746" s="2"/>
    </row>
    <row r="747" spans="1:11" ht="13.8" x14ac:dyDescent="0.3">
      <c r="A747" s="3"/>
      <c r="E747" s="2"/>
      <c r="F747" s="2"/>
      <c r="G747" s="2"/>
      <c r="H747" s="2"/>
      <c r="I747" s="2"/>
      <c r="J747" s="2"/>
      <c r="K747" s="2"/>
    </row>
    <row r="748" spans="1:11" ht="13.8" x14ac:dyDescent="0.3">
      <c r="A748" s="3"/>
      <c r="E748" s="2"/>
      <c r="F748" s="2"/>
      <c r="G748" s="2"/>
      <c r="H748" s="2"/>
      <c r="I748" s="2"/>
      <c r="J748" s="2"/>
      <c r="K748" s="2"/>
    </row>
    <row r="749" spans="1:11" ht="13.8" x14ac:dyDescent="0.3">
      <c r="A749" s="3"/>
      <c r="E749" s="2"/>
      <c r="F749" s="2"/>
      <c r="G749" s="2"/>
      <c r="H749" s="2"/>
      <c r="I749" s="2"/>
      <c r="J749" s="2"/>
      <c r="K749" s="2"/>
    </row>
    <row r="750" spans="1:11" ht="13.8" x14ac:dyDescent="0.3">
      <c r="A750" s="3"/>
      <c r="E750" s="2"/>
      <c r="F750" s="2"/>
      <c r="G750" s="2"/>
      <c r="H750" s="2"/>
      <c r="I750" s="2"/>
      <c r="J750" s="2"/>
      <c r="K750" s="2"/>
    </row>
    <row r="751" spans="1:11" ht="13.8" x14ac:dyDescent="0.3">
      <c r="A751" s="3"/>
      <c r="E751" s="2"/>
      <c r="F751" s="2"/>
      <c r="G751" s="2"/>
      <c r="H751" s="2"/>
      <c r="I751" s="2"/>
      <c r="J751" s="2"/>
      <c r="K751" s="2"/>
    </row>
    <row r="752" spans="1:11" ht="13.8" x14ac:dyDescent="0.3">
      <c r="A752" s="3"/>
      <c r="E752" s="2"/>
      <c r="F752" s="2"/>
      <c r="G752" s="2"/>
      <c r="H752" s="2"/>
      <c r="I752" s="2"/>
      <c r="J752" s="2"/>
      <c r="K752" s="2"/>
    </row>
    <row r="753" spans="1:11" ht="13.8" x14ac:dyDescent="0.3">
      <c r="A753" s="3"/>
      <c r="E753" s="2"/>
      <c r="F753" s="2"/>
      <c r="G753" s="2"/>
      <c r="H753" s="2"/>
      <c r="I753" s="2"/>
      <c r="J753" s="2"/>
      <c r="K753" s="2"/>
    </row>
    <row r="754" spans="1:11" ht="13.8" x14ac:dyDescent="0.3">
      <c r="A754" s="3"/>
      <c r="E754" s="2"/>
      <c r="F754" s="2"/>
      <c r="G754" s="2"/>
      <c r="H754" s="2"/>
      <c r="I754" s="2"/>
      <c r="J754" s="2"/>
      <c r="K754" s="2"/>
    </row>
    <row r="755" spans="1:11" ht="13.8" x14ac:dyDescent="0.3">
      <c r="A755" s="3"/>
      <c r="E755" s="2"/>
      <c r="F755" s="2"/>
      <c r="G755" s="2"/>
      <c r="H755" s="2"/>
      <c r="I755" s="2"/>
      <c r="J755" s="2"/>
      <c r="K755" s="2"/>
    </row>
    <row r="756" spans="1:11" ht="13.8" x14ac:dyDescent="0.3">
      <c r="A756" s="3"/>
      <c r="E756" s="2"/>
      <c r="F756" s="2"/>
      <c r="G756" s="2"/>
      <c r="H756" s="2"/>
      <c r="I756" s="2"/>
      <c r="J756" s="2"/>
      <c r="K756" s="2"/>
    </row>
    <row r="757" spans="1:11" ht="13.8" x14ac:dyDescent="0.3">
      <c r="A757" s="3"/>
      <c r="E757" s="2"/>
      <c r="F757" s="2"/>
      <c r="G757" s="2"/>
      <c r="H757" s="2"/>
      <c r="I757" s="2"/>
      <c r="J757" s="2"/>
      <c r="K757" s="2"/>
    </row>
    <row r="758" spans="1:11" ht="13.8" x14ac:dyDescent="0.3">
      <c r="A758" s="3"/>
      <c r="E758" s="2"/>
      <c r="F758" s="2"/>
      <c r="G758" s="2"/>
      <c r="H758" s="2"/>
      <c r="I758" s="2"/>
      <c r="J758" s="2"/>
      <c r="K758" s="2"/>
    </row>
    <row r="759" spans="1:11" ht="13.8" x14ac:dyDescent="0.3">
      <c r="A759" s="3"/>
      <c r="E759" s="2"/>
      <c r="F759" s="2"/>
      <c r="G759" s="2"/>
      <c r="H759" s="2"/>
      <c r="I759" s="2"/>
      <c r="J759" s="2"/>
      <c r="K759" s="2"/>
    </row>
    <row r="760" spans="1:11" ht="13.8" x14ac:dyDescent="0.3">
      <c r="A760" s="3"/>
      <c r="E760" s="2"/>
      <c r="F760" s="2"/>
      <c r="G760" s="2"/>
      <c r="H760" s="2"/>
      <c r="I760" s="2"/>
      <c r="J760" s="2"/>
      <c r="K760" s="2"/>
    </row>
    <row r="761" spans="1:11" ht="13.8" x14ac:dyDescent="0.3">
      <c r="A761" s="3"/>
      <c r="E761" s="2"/>
      <c r="F761" s="2"/>
      <c r="G761" s="2"/>
      <c r="H761" s="2"/>
      <c r="I761" s="2"/>
      <c r="J761" s="2"/>
      <c r="K761" s="2"/>
    </row>
    <row r="762" spans="1:11" ht="13.8" x14ac:dyDescent="0.3">
      <c r="A762" s="3"/>
      <c r="E762" s="2"/>
      <c r="F762" s="2"/>
      <c r="G762" s="2"/>
      <c r="H762" s="2"/>
      <c r="I762" s="2"/>
      <c r="J762" s="2"/>
      <c r="K762" s="2"/>
    </row>
    <row r="763" spans="1:11" ht="13.8" x14ac:dyDescent="0.3">
      <c r="A763" s="3"/>
      <c r="E763" s="2"/>
      <c r="F763" s="2"/>
      <c r="G763" s="2"/>
      <c r="H763" s="2"/>
      <c r="I763" s="2"/>
      <c r="J763" s="2"/>
      <c r="K763" s="2"/>
    </row>
    <row r="764" spans="1:11" ht="13.8" x14ac:dyDescent="0.3">
      <c r="A764" s="3"/>
      <c r="E764" s="2"/>
      <c r="F764" s="2"/>
      <c r="G764" s="2"/>
      <c r="H764" s="2"/>
      <c r="I764" s="2"/>
      <c r="J764" s="2"/>
      <c r="K764" s="2"/>
    </row>
    <row r="765" spans="1:11" ht="13.8" x14ac:dyDescent="0.3">
      <c r="A765" s="3"/>
      <c r="E765" s="2"/>
      <c r="F765" s="2"/>
      <c r="G765" s="2"/>
      <c r="H765" s="2"/>
      <c r="I765" s="2"/>
      <c r="J765" s="2"/>
      <c r="K765" s="2"/>
    </row>
    <row r="766" spans="1:11" ht="13.8" x14ac:dyDescent="0.3">
      <c r="A766" s="3"/>
      <c r="E766" s="2"/>
      <c r="F766" s="2"/>
      <c r="G766" s="2"/>
      <c r="H766" s="2"/>
      <c r="I766" s="2"/>
      <c r="J766" s="2"/>
      <c r="K766" s="2"/>
    </row>
    <row r="767" spans="1:11" ht="13.8" x14ac:dyDescent="0.3">
      <c r="A767" s="3"/>
      <c r="E767" s="2"/>
      <c r="F767" s="2"/>
      <c r="G767" s="2"/>
      <c r="H767" s="2"/>
      <c r="I767" s="2"/>
      <c r="J767" s="2"/>
      <c r="K767" s="2"/>
    </row>
    <row r="768" spans="1:11" ht="13.8" x14ac:dyDescent="0.3">
      <c r="A768" s="3"/>
      <c r="E768" s="2"/>
      <c r="F768" s="2"/>
      <c r="G768" s="2"/>
      <c r="H768" s="2"/>
      <c r="I768" s="2"/>
      <c r="J768" s="2"/>
      <c r="K768" s="2"/>
    </row>
    <row r="769" spans="1:11" ht="13.8" x14ac:dyDescent="0.3">
      <c r="A769" s="3"/>
      <c r="E769" s="2"/>
      <c r="F769" s="2"/>
      <c r="G769" s="2"/>
      <c r="H769" s="2"/>
      <c r="I769" s="2"/>
      <c r="J769" s="2"/>
      <c r="K769" s="2"/>
    </row>
    <row r="770" spans="1:11" ht="13.8" x14ac:dyDescent="0.3">
      <c r="A770" s="3"/>
      <c r="E770" s="2"/>
      <c r="F770" s="2"/>
      <c r="G770" s="2"/>
      <c r="H770" s="2"/>
      <c r="I770" s="2"/>
      <c r="J770" s="2"/>
      <c r="K770" s="2"/>
    </row>
    <row r="771" spans="1:11" ht="13.8" x14ac:dyDescent="0.3">
      <c r="A771" s="3"/>
      <c r="E771" s="2"/>
      <c r="F771" s="2"/>
      <c r="G771" s="2"/>
      <c r="H771" s="2"/>
      <c r="I771" s="2"/>
      <c r="J771" s="2"/>
      <c r="K771" s="2"/>
    </row>
    <row r="772" spans="1:11" ht="13.8" x14ac:dyDescent="0.3">
      <c r="A772" s="3"/>
      <c r="E772" s="2"/>
      <c r="F772" s="2"/>
      <c r="G772" s="2"/>
      <c r="H772" s="2"/>
      <c r="I772" s="2"/>
      <c r="J772" s="2"/>
      <c r="K772" s="2"/>
    </row>
    <row r="773" spans="1:11" ht="13.8" x14ac:dyDescent="0.3">
      <c r="A773" s="3"/>
      <c r="E773" s="2"/>
      <c r="F773" s="2"/>
      <c r="G773" s="2"/>
      <c r="H773" s="2"/>
      <c r="I773" s="2"/>
      <c r="J773" s="2"/>
      <c r="K773" s="2"/>
    </row>
    <row r="774" spans="1:11" ht="13.8" x14ac:dyDescent="0.3">
      <c r="A774" s="3"/>
      <c r="E774" s="2"/>
      <c r="F774" s="2"/>
      <c r="G774" s="2"/>
      <c r="H774" s="2"/>
      <c r="I774" s="2"/>
      <c r="J774" s="2"/>
      <c r="K774" s="2"/>
    </row>
    <row r="775" spans="1:11" ht="13.8" x14ac:dyDescent="0.3">
      <c r="A775" s="3"/>
      <c r="E775" s="2"/>
      <c r="F775" s="2"/>
      <c r="G775" s="2"/>
      <c r="H775" s="2"/>
      <c r="I775" s="2"/>
      <c r="J775" s="2"/>
      <c r="K775" s="2"/>
    </row>
    <row r="776" spans="1:11" ht="13.8" x14ac:dyDescent="0.3">
      <c r="A776" s="3"/>
      <c r="E776" s="2"/>
      <c r="F776" s="2"/>
      <c r="G776" s="2"/>
      <c r="H776" s="2"/>
      <c r="I776" s="2"/>
      <c r="J776" s="2"/>
      <c r="K776" s="2"/>
    </row>
    <row r="777" spans="1:11" ht="13.8" x14ac:dyDescent="0.3">
      <c r="A777" s="3"/>
      <c r="E777" s="2"/>
      <c r="F777" s="2"/>
      <c r="G777" s="2"/>
      <c r="H777" s="2"/>
      <c r="I777" s="2"/>
      <c r="J777" s="2"/>
      <c r="K777" s="2"/>
    </row>
    <row r="778" spans="1:11" ht="13.8" x14ac:dyDescent="0.3">
      <c r="A778" s="3"/>
      <c r="E778" s="2"/>
      <c r="F778" s="2"/>
      <c r="G778" s="2"/>
      <c r="H778" s="2"/>
      <c r="I778" s="2"/>
      <c r="J778" s="2"/>
      <c r="K778" s="2"/>
    </row>
    <row r="779" spans="1:11" ht="13.8" x14ac:dyDescent="0.3">
      <c r="A779" s="3"/>
      <c r="E779" s="2"/>
      <c r="F779" s="2"/>
      <c r="G779" s="2"/>
      <c r="H779" s="2"/>
      <c r="I779" s="2"/>
      <c r="J779" s="2"/>
      <c r="K779" s="2"/>
    </row>
    <row r="780" spans="1:11" ht="13.8" x14ac:dyDescent="0.3">
      <c r="A780" s="3"/>
      <c r="E780" s="2"/>
      <c r="F780" s="2"/>
      <c r="G780" s="2"/>
      <c r="H780" s="2"/>
      <c r="I780" s="2"/>
      <c r="J780" s="2"/>
      <c r="K780" s="2"/>
    </row>
    <row r="781" spans="1:11" ht="13.8" x14ac:dyDescent="0.3">
      <c r="A781" s="3"/>
      <c r="E781" s="2"/>
      <c r="F781" s="2"/>
      <c r="G781" s="2"/>
      <c r="H781" s="2"/>
      <c r="I781" s="2"/>
      <c r="J781" s="2"/>
      <c r="K781" s="2"/>
    </row>
    <row r="782" spans="1:11" ht="13.8" x14ac:dyDescent="0.3">
      <c r="A782" s="3"/>
      <c r="E782" s="2"/>
      <c r="F782" s="2"/>
      <c r="G782" s="2"/>
      <c r="H782" s="2"/>
      <c r="I782" s="2"/>
      <c r="J782" s="2"/>
      <c r="K782" s="2"/>
    </row>
    <row r="783" spans="1:11" ht="13.8" x14ac:dyDescent="0.3">
      <c r="A783" s="3"/>
      <c r="E783" s="2"/>
      <c r="F783" s="2"/>
      <c r="G783" s="2"/>
      <c r="H783" s="2"/>
      <c r="I783" s="2"/>
      <c r="J783" s="2"/>
      <c r="K783" s="2"/>
    </row>
    <row r="784" spans="1:11" ht="13.8" x14ac:dyDescent="0.3">
      <c r="A784" s="3"/>
      <c r="E784" s="2"/>
      <c r="F784" s="2"/>
      <c r="G784" s="2"/>
      <c r="H784" s="2"/>
      <c r="I784" s="2"/>
      <c r="J784" s="2"/>
      <c r="K784" s="2"/>
    </row>
    <row r="785" spans="1:11" ht="13.8" x14ac:dyDescent="0.3">
      <c r="A785" s="3"/>
      <c r="E785" s="2"/>
      <c r="F785" s="2"/>
      <c r="G785" s="2"/>
      <c r="H785" s="2"/>
      <c r="I785" s="2"/>
      <c r="J785" s="2"/>
      <c r="K785" s="2"/>
    </row>
    <row r="786" spans="1:11" ht="13.8" x14ac:dyDescent="0.3">
      <c r="A786" s="3"/>
      <c r="E786" s="2"/>
      <c r="F786" s="2"/>
      <c r="G786" s="2"/>
      <c r="H786" s="2"/>
      <c r="I786" s="2"/>
      <c r="J786" s="2"/>
      <c r="K786" s="2"/>
    </row>
    <row r="787" spans="1:11" ht="13.8" x14ac:dyDescent="0.3">
      <c r="A787" s="3"/>
      <c r="E787" s="2"/>
      <c r="F787" s="2"/>
      <c r="G787" s="2"/>
      <c r="H787" s="2"/>
      <c r="I787" s="2"/>
      <c r="J787" s="2"/>
      <c r="K787" s="2"/>
    </row>
    <row r="788" spans="1:11" ht="13.8" x14ac:dyDescent="0.3">
      <c r="A788" s="3"/>
      <c r="E788" s="2"/>
      <c r="F788" s="2"/>
      <c r="G788" s="2"/>
      <c r="H788" s="2"/>
      <c r="I788" s="2"/>
      <c r="J788" s="2"/>
      <c r="K788" s="2"/>
    </row>
    <row r="789" spans="1:11" ht="13.8" x14ac:dyDescent="0.3">
      <c r="A789" s="3"/>
      <c r="E789" s="2"/>
      <c r="F789" s="2"/>
      <c r="G789" s="2"/>
      <c r="H789" s="2"/>
      <c r="I789" s="2"/>
      <c r="J789" s="2"/>
      <c r="K789" s="2"/>
    </row>
    <row r="790" spans="1:11" ht="13.8" x14ac:dyDescent="0.3">
      <c r="A790" s="3"/>
      <c r="E790" s="2"/>
      <c r="F790" s="2"/>
      <c r="G790" s="2"/>
      <c r="H790" s="2"/>
      <c r="I790" s="2"/>
      <c r="J790" s="2"/>
      <c r="K790" s="2"/>
    </row>
    <row r="791" spans="1:11" ht="13.8" x14ac:dyDescent="0.3">
      <c r="A791" s="3"/>
      <c r="E791" s="2"/>
      <c r="F791" s="2"/>
      <c r="G791" s="2"/>
      <c r="H791" s="2"/>
      <c r="I791" s="2"/>
      <c r="J791" s="2"/>
      <c r="K791" s="2"/>
    </row>
    <row r="792" spans="1:11" ht="13.8" x14ac:dyDescent="0.3">
      <c r="A792" s="3"/>
      <c r="E792" s="2"/>
      <c r="F792" s="2"/>
      <c r="G792" s="2"/>
      <c r="H792" s="2"/>
      <c r="I792" s="2"/>
      <c r="J792" s="2"/>
      <c r="K792" s="2"/>
    </row>
    <row r="793" spans="1:11" ht="13.8" x14ac:dyDescent="0.3">
      <c r="A793" s="3"/>
      <c r="E793" s="2"/>
      <c r="F793" s="2"/>
      <c r="G793" s="2"/>
      <c r="H793" s="2"/>
      <c r="I793" s="2"/>
      <c r="J793" s="2"/>
      <c r="K793" s="2"/>
    </row>
    <row r="794" spans="1:11" ht="13.8" x14ac:dyDescent="0.3">
      <c r="A794" s="3"/>
      <c r="E794" s="2"/>
      <c r="F794" s="2"/>
      <c r="G794" s="2"/>
      <c r="H794" s="2"/>
      <c r="I794" s="2"/>
      <c r="J794" s="2"/>
      <c r="K794" s="2"/>
    </row>
    <row r="795" spans="1:11" ht="13.8" x14ac:dyDescent="0.3">
      <c r="A795" s="3"/>
      <c r="E795" s="2"/>
      <c r="F795" s="2"/>
      <c r="G795" s="2"/>
      <c r="H795" s="2"/>
      <c r="I795" s="2"/>
      <c r="J795" s="2"/>
      <c r="K795" s="2"/>
    </row>
    <row r="796" spans="1:11" ht="13.8" x14ac:dyDescent="0.3">
      <c r="A796" s="3"/>
      <c r="E796" s="2"/>
      <c r="F796" s="2"/>
      <c r="G796" s="2"/>
      <c r="H796" s="2"/>
      <c r="I796" s="2"/>
      <c r="J796" s="2"/>
      <c r="K796" s="2"/>
    </row>
    <row r="797" spans="1:11" ht="13.8" x14ac:dyDescent="0.3">
      <c r="A797" s="3"/>
      <c r="E797" s="2"/>
      <c r="F797" s="2"/>
      <c r="G797" s="2"/>
      <c r="H797" s="2"/>
      <c r="I797" s="2"/>
      <c r="J797" s="2"/>
      <c r="K797" s="2"/>
    </row>
    <row r="798" spans="1:11" ht="13.8" x14ac:dyDescent="0.3">
      <c r="A798" s="3"/>
      <c r="E798" s="2"/>
      <c r="F798" s="2"/>
      <c r="G798" s="2"/>
      <c r="H798" s="2"/>
      <c r="I798" s="2"/>
      <c r="J798" s="2"/>
      <c r="K798" s="2"/>
    </row>
    <row r="799" spans="1:11" ht="13.8" x14ac:dyDescent="0.3">
      <c r="A799" s="3"/>
      <c r="E799" s="2"/>
      <c r="F799" s="2"/>
      <c r="G799" s="2"/>
      <c r="H799" s="2"/>
      <c r="I799" s="2"/>
      <c r="J799" s="2"/>
      <c r="K799" s="2"/>
    </row>
    <row r="800" spans="1:11" ht="13.8" x14ac:dyDescent="0.3">
      <c r="A800" s="3"/>
      <c r="E800" s="2"/>
      <c r="F800" s="2"/>
      <c r="G800" s="2"/>
      <c r="H800" s="2"/>
      <c r="I800" s="2"/>
      <c r="J800" s="2"/>
      <c r="K800" s="2"/>
    </row>
    <row r="801" spans="1:11" ht="13.8" x14ac:dyDescent="0.3">
      <c r="A801" s="3"/>
      <c r="E801" s="2"/>
      <c r="F801" s="2"/>
      <c r="G801" s="2"/>
      <c r="H801" s="2"/>
      <c r="I801" s="2"/>
      <c r="J801" s="2"/>
      <c r="K801" s="2"/>
    </row>
    <row r="802" spans="1:11" ht="13.8" x14ac:dyDescent="0.3">
      <c r="A802" s="3"/>
      <c r="E802" s="2"/>
      <c r="F802" s="2"/>
      <c r="G802" s="2"/>
      <c r="H802" s="2"/>
      <c r="I802" s="2"/>
      <c r="J802" s="2"/>
      <c r="K802" s="2"/>
    </row>
    <row r="803" spans="1:11" ht="13.8" x14ac:dyDescent="0.3">
      <c r="A803" s="3"/>
      <c r="E803" s="2"/>
      <c r="F803" s="2"/>
      <c r="G803" s="2"/>
      <c r="H803" s="2"/>
      <c r="I803" s="2"/>
      <c r="J803" s="2"/>
      <c r="K803" s="2"/>
    </row>
    <row r="804" spans="1:11" ht="13.8" x14ac:dyDescent="0.3">
      <c r="A804" s="3"/>
      <c r="E804" s="2"/>
      <c r="F804" s="2"/>
      <c r="G804" s="2"/>
      <c r="H804" s="2"/>
      <c r="I804" s="2"/>
      <c r="J804" s="2"/>
      <c r="K804" s="2"/>
    </row>
    <row r="805" spans="1:11" ht="13.8" x14ac:dyDescent="0.3">
      <c r="A805" s="3"/>
      <c r="E805" s="2"/>
      <c r="F805" s="2"/>
      <c r="G805" s="2"/>
      <c r="H805" s="2"/>
      <c r="I805" s="2"/>
      <c r="J805" s="2"/>
      <c r="K805" s="2"/>
    </row>
    <row r="806" spans="1:11" ht="13.8" x14ac:dyDescent="0.3">
      <c r="A806" s="3"/>
      <c r="E806" s="2"/>
      <c r="F806" s="2"/>
      <c r="G806" s="2"/>
      <c r="H806" s="2"/>
      <c r="I806" s="2"/>
      <c r="J806" s="2"/>
      <c r="K806" s="2"/>
    </row>
    <row r="807" spans="1:11" ht="13.8" x14ac:dyDescent="0.3">
      <c r="A807" s="3"/>
      <c r="E807" s="2"/>
      <c r="F807" s="2"/>
      <c r="G807" s="2"/>
      <c r="H807" s="2"/>
      <c r="I807" s="2"/>
      <c r="J807" s="2"/>
      <c r="K807" s="2"/>
    </row>
    <row r="808" spans="1:11" ht="13.8" x14ac:dyDescent="0.3">
      <c r="A808" s="3"/>
      <c r="E808" s="2"/>
      <c r="F808" s="2"/>
      <c r="G808" s="2"/>
      <c r="H808" s="2"/>
      <c r="I808" s="2"/>
      <c r="J808" s="2"/>
      <c r="K808" s="2"/>
    </row>
    <row r="809" spans="1:11" ht="13.8" x14ac:dyDescent="0.3">
      <c r="A809" s="3"/>
      <c r="E809" s="2"/>
      <c r="F809" s="2"/>
      <c r="G809" s="2"/>
      <c r="H809" s="2"/>
      <c r="I809" s="2"/>
      <c r="J809" s="2"/>
      <c r="K809" s="2"/>
    </row>
    <row r="810" spans="1:11" ht="13.8" x14ac:dyDescent="0.3">
      <c r="A810" s="3"/>
      <c r="E810" s="2"/>
      <c r="F810" s="2"/>
      <c r="G810" s="2"/>
      <c r="H810" s="2"/>
      <c r="I810" s="2"/>
      <c r="J810" s="2"/>
      <c r="K810" s="2"/>
    </row>
    <row r="811" spans="1:11" ht="13.8" x14ac:dyDescent="0.3">
      <c r="A811" s="3"/>
      <c r="E811" s="2"/>
      <c r="F811" s="2"/>
      <c r="G811" s="2"/>
      <c r="H811" s="2"/>
      <c r="I811" s="2"/>
      <c r="J811" s="2"/>
      <c r="K811" s="2"/>
    </row>
    <row r="812" spans="1:11" ht="13.8" x14ac:dyDescent="0.3">
      <c r="A812" s="3"/>
      <c r="E812" s="2"/>
      <c r="F812" s="2"/>
      <c r="G812" s="2"/>
      <c r="H812" s="2"/>
      <c r="I812" s="2"/>
      <c r="J812" s="2"/>
      <c r="K812" s="2"/>
    </row>
    <row r="813" spans="1:11" ht="13.8" x14ac:dyDescent="0.3">
      <c r="A813" s="3"/>
      <c r="E813" s="2"/>
      <c r="F813" s="2"/>
      <c r="G813" s="2"/>
      <c r="H813" s="2"/>
      <c r="I813" s="2"/>
      <c r="J813" s="2"/>
      <c r="K813" s="2"/>
    </row>
    <row r="814" spans="1:11" ht="13.8" x14ac:dyDescent="0.3">
      <c r="A814" s="3"/>
      <c r="E814" s="2"/>
      <c r="F814" s="2"/>
      <c r="G814" s="2"/>
      <c r="H814" s="2"/>
      <c r="I814" s="2"/>
      <c r="J814" s="2"/>
      <c r="K814" s="2"/>
    </row>
    <row r="815" spans="1:11" ht="13.8" x14ac:dyDescent="0.3">
      <c r="A815" s="3"/>
      <c r="E815" s="2"/>
      <c r="F815" s="2"/>
      <c r="G815" s="2"/>
      <c r="H815" s="2"/>
      <c r="I815" s="2"/>
      <c r="J815" s="2"/>
      <c r="K815" s="2"/>
    </row>
    <row r="816" spans="1:11" ht="13.8" x14ac:dyDescent="0.3">
      <c r="A816" s="3"/>
      <c r="E816" s="2"/>
      <c r="F816" s="2"/>
      <c r="G816" s="2"/>
      <c r="H816" s="2"/>
      <c r="I816" s="2"/>
      <c r="J816" s="2"/>
      <c r="K816" s="2"/>
    </row>
    <row r="817" spans="1:11" ht="13.8" x14ac:dyDescent="0.3">
      <c r="A817" s="3"/>
      <c r="E817" s="2"/>
      <c r="F817" s="2"/>
      <c r="G817" s="2"/>
      <c r="H817" s="2"/>
      <c r="I817" s="2"/>
      <c r="J817" s="2"/>
      <c r="K817" s="2"/>
    </row>
    <row r="818" spans="1:11" ht="13.8" x14ac:dyDescent="0.3">
      <c r="A818" s="3"/>
      <c r="E818" s="2"/>
      <c r="F818" s="2"/>
      <c r="G818" s="2"/>
      <c r="H818" s="2"/>
      <c r="I818" s="2"/>
      <c r="J818" s="2"/>
      <c r="K818" s="2"/>
    </row>
    <row r="819" spans="1:11" ht="13.8" x14ac:dyDescent="0.3">
      <c r="A819" s="3"/>
      <c r="E819" s="2"/>
      <c r="F819" s="2"/>
      <c r="G819" s="2"/>
      <c r="H819" s="2"/>
      <c r="I819" s="2"/>
      <c r="J819" s="2"/>
      <c r="K819" s="2"/>
    </row>
    <row r="820" spans="1:11" ht="13.8" x14ac:dyDescent="0.3">
      <c r="A820" s="3"/>
      <c r="E820" s="2"/>
      <c r="F820" s="2"/>
      <c r="G820" s="2"/>
      <c r="H820" s="2"/>
      <c r="I820" s="2"/>
      <c r="J820" s="2"/>
      <c r="K820" s="2"/>
    </row>
    <row r="821" spans="1:11" ht="13.8" x14ac:dyDescent="0.3">
      <c r="A821" s="3"/>
      <c r="E821" s="2"/>
      <c r="F821" s="2"/>
      <c r="G821" s="2"/>
      <c r="H821" s="2"/>
      <c r="I821" s="2"/>
      <c r="J821" s="2"/>
      <c r="K821" s="2"/>
    </row>
    <row r="822" spans="1:11" ht="13.8" x14ac:dyDescent="0.3">
      <c r="A822" s="3"/>
      <c r="E822" s="2"/>
      <c r="F822" s="2"/>
      <c r="G822" s="2"/>
      <c r="H822" s="2"/>
      <c r="I822" s="2"/>
      <c r="J822" s="2"/>
      <c r="K822" s="2"/>
    </row>
    <row r="823" spans="1:11" ht="13.8" x14ac:dyDescent="0.3">
      <c r="A823" s="3"/>
      <c r="E823" s="2"/>
      <c r="F823" s="2"/>
      <c r="G823" s="2"/>
      <c r="H823" s="2"/>
      <c r="I823" s="2"/>
      <c r="J823" s="2"/>
      <c r="K823" s="2"/>
    </row>
    <row r="824" spans="1:11" ht="13.8" x14ac:dyDescent="0.3">
      <c r="A824" s="3"/>
      <c r="E824" s="2"/>
      <c r="F824" s="2"/>
      <c r="G824" s="2"/>
      <c r="H824" s="2"/>
      <c r="I824" s="2"/>
      <c r="J824" s="2"/>
      <c r="K824" s="2"/>
    </row>
    <row r="825" spans="1:11" ht="13.8" x14ac:dyDescent="0.3">
      <c r="A825" s="3"/>
      <c r="E825" s="2"/>
      <c r="F825" s="2"/>
      <c r="G825" s="2"/>
      <c r="H825" s="2"/>
      <c r="I825" s="2"/>
      <c r="J825" s="2"/>
      <c r="K825" s="2"/>
    </row>
    <row r="826" spans="1:11" ht="13.8" x14ac:dyDescent="0.3">
      <c r="A826" s="3"/>
      <c r="E826" s="2"/>
      <c r="F826" s="2"/>
      <c r="G826" s="2"/>
      <c r="H826" s="2"/>
      <c r="I826" s="2"/>
      <c r="J826" s="2"/>
      <c r="K826" s="2"/>
    </row>
    <row r="827" spans="1:11" ht="13.8" x14ac:dyDescent="0.3">
      <c r="A827" s="3"/>
      <c r="E827" s="2"/>
      <c r="F827" s="2"/>
      <c r="G827" s="2"/>
      <c r="H827" s="2"/>
      <c r="I827" s="2"/>
      <c r="J827" s="2"/>
      <c r="K827" s="2"/>
    </row>
    <row r="828" spans="1:11" ht="13.8" x14ac:dyDescent="0.3">
      <c r="A828" s="3"/>
      <c r="E828" s="2"/>
      <c r="F828" s="2"/>
      <c r="G828" s="2"/>
      <c r="H828" s="2"/>
      <c r="I828" s="2"/>
      <c r="J828" s="2"/>
      <c r="K828" s="2"/>
    </row>
    <row r="829" spans="1:11" ht="13.8" x14ac:dyDescent="0.3">
      <c r="A829" s="3"/>
      <c r="E829" s="2"/>
      <c r="F829" s="2"/>
      <c r="G829" s="2"/>
      <c r="H829" s="2"/>
      <c r="I829" s="2"/>
      <c r="J829" s="2"/>
      <c r="K829" s="2"/>
    </row>
    <row r="830" spans="1:11" ht="13.8" x14ac:dyDescent="0.3">
      <c r="A830" s="3"/>
      <c r="E830" s="2"/>
      <c r="F830" s="2"/>
      <c r="G830" s="2"/>
      <c r="H830" s="2"/>
      <c r="I830" s="2"/>
      <c r="J830" s="2"/>
      <c r="K830" s="2"/>
    </row>
    <row r="831" spans="1:11" ht="13.8" x14ac:dyDescent="0.3">
      <c r="A831" s="3"/>
      <c r="E831" s="2"/>
      <c r="F831" s="2"/>
      <c r="G831" s="2"/>
      <c r="H831" s="2"/>
      <c r="I831" s="2"/>
      <c r="J831" s="2"/>
      <c r="K831" s="2"/>
    </row>
    <row r="832" spans="1:11" ht="13.8" x14ac:dyDescent="0.3">
      <c r="A832" s="3"/>
      <c r="E832" s="2"/>
      <c r="F832" s="2"/>
      <c r="G832" s="2"/>
      <c r="H832" s="2"/>
      <c r="I832" s="2"/>
      <c r="J832" s="2"/>
      <c r="K832" s="2"/>
    </row>
    <row r="833" spans="1:11" ht="13.8" x14ac:dyDescent="0.3">
      <c r="A833" s="3"/>
      <c r="E833" s="2"/>
      <c r="F833" s="2"/>
      <c r="G833" s="2"/>
      <c r="H833" s="2"/>
      <c r="I833" s="2"/>
      <c r="J833" s="2"/>
      <c r="K833" s="2"/>
    </row>
    <row r="834" spans="1:11" ht="13.8" x14ac:dyDescent="0.3">
      <c r="A834" s="3"/>
      <c r="E834" s="2"/>
      <c r="F834" s="2"/>
      <c r="G834" s="2"/>
      <c r="H834" s="2"/>
      <c r="I834" s="2"/>
      <c r="J834" s="2"/>
      <c r="K834" s="2"/>
    </row>
    <row r="835" spans="1:11" ht="13.8" x14ac:dyDescent="0.3">
      <c r="A835" s="3"/>
      <c r="E835" s="2"/>
      <c r="F835" s="2"/>
      <c r="G835" s="2"/>
      <c r="H835" s="2"/>
      <c r="I835" s="2"/>
      <c r="J835" s="2"/>
      <c r="K835" s="2"/>
    </row>
    <row r="836" spans="1:11" ht="13.8" x14ac:dyDescent="0.3">
      <c r="A836" s="3"/>
      <c r="E836" s="2"/>
      <c r="F836" s="2"/>
      <c r="G836" s="2"/>
      <c r="H836" s="2"/>
      <c r="I836" s="2"/>
      <c r="J836" s="2"/>
      <c r="K836" s="2"/>
    </row>
    <row r="837" spans="1:11" ht="13.8" x14ac:dyDescent="0.3">
      <c r="A837" s="3"/>
      <c r="E837" s="2"/>
      <c r="F837" s="2"/>
      <c r="G837" s="2"/>
      <c r="H837" s="2"/>
      <c r="I837" s="2"/>
      <c r="J837" s="2"/>
      <c r="K837" s="2"/>
    </row>
    <row r="838" spans="1:11" ht="13.8" x14ac:dyDescent="0.3">
      <c r="A838" s="3"/>
      <c r="E838" s="2"/>
      <c r="F838" s="2"/>
      <c r="G838" s="2"/>
      <c r="H838" s="2"/>
      <c r="I838" s="2"/>
      <c r="J838" s="2"/>
      <c r="K838" s="2"/>
    </row>
    <row r="839" spans="1:11" ht="13.8" x14ac:dyDescent="0.3">
      <c r="A839" s="3"/>
      <c r="E839" s="2"/>
      <c r="F839" s="2"/>
      <c r="G839" s="2"/>
      <c r="H839" s="2"/>
      <c r="I839" s="2"/>
      <c r="J839" s="2"/>
      <c r="K839" s="2"/>
    </row>
    <row r="840" spans="1:11" ht="13.8" x14ac:dyDescent="0.3">
      <c r="A840" s="3"/>
      <c r="E840" s="2"/>
      <c r="F840" s="2"/>
      <c r="G840" s="2"/>
      <c r="H840" s="2"/>
      <c r="I840" s="2"/>
      <c r="J840" s="2"/>
      <c r="K840" s="2"/>
    </row>
    <row r="841" spans="1:11" ht="13.8" x14ac:dyDescent="0.3">
      <c r="A841" s="3"/>
      <c r="E841" s="2"/>
      <c r="F841" s="2"/>
      <c r="G841" s="2"/>
      <c r="H841" s="2"/>
      <c r="I841" s="2"/>
      <c r="J841" s="2"/>
      <c r="K841" s="2"/>
    </row>
    <row r="842" spans="1:11" ht="13.8" x14ac:dyDescent="0.3">
      <c r="A842" s="3"/>
      <c r="E842" s="2"/>
      <c r="F842" s="2"/>
      <c r="G842" s="2"/>
      <c r="H842" s="2"/>
      <c r="I842" s="2"/>
      <c r="J842" s="2"/>
      <c r="K842" s="2"/>
    </row>
    <row r="843" spans="1:11" ht="13.8" x14ac:dyDescent="0.3">
      <c r="A843" s="3"/>
      <c r="E843" s="2"/>
      <c r="F843" s="2"/>
      <c r="G843" s="2"/>
      <c r="H843" s="2"/>
      <c r="I843" s="2"/>
      <c r="J843" s="2"/>
      <c r="K843" s="2"/>
    </row>
    <row r="844" spans="1:11" ht="13.8" x14ac:dyDescent="0.3">
      <c r="A844" s="3"/>
      <c r="E844" s="2"/>
      <c r="F844" s="2"/>
      <c r="G844" s="2"/>
      <c r="H844" s="2"/>
      <c r="I844" s="2"/>
      <c r="J844" s="2"/>
      <c r="K844" s="2"/>
    </row>
    <row r="845" spans="1:11" ht="13.8" x14ac:dyDescent="0.3">
      <c r="A845" s="3"/>
      <c r="E845" s="2"/>
      <c r="F845" s="2"/>
      <c r="G845" s="2"/>
      <c r="H845" s="2"/>
      <c r="I845" s="2"/>
      <c r="J845" s="2"/>
      <c r="K845" s="2"/>
    </row>
    <row r="846" spans="1:11" ht="13.8" x14ac:dyDescent="0.3">
      <c r="A846" s="3"/>
      <c r="E846" s="2"/>
      <c r="F846" s="2"/>
      <c r="G846" s="2"/>
      <c r="H846" s="2"/>
      <c r="I846" s="2"/>
      <c r="J846" s="2"/>
      <c r="K846" s="2"/>
    </row>
    <row r="847" spans="1:11" ht="13.8" x14ac:dyDescent="0.3">
      <c r="A847" s="3"/>
      <c r="E847" s="2"/>
      <c r="F847" s="2"/>
      <c r="G847" s="2"/>
      <c r="H847" s="2"/>
      <c r="I847" s="2"/>
      <c r="J847" s="2"/>
      <c r="K847" s="2"/>
    </row>
    <row r="848" spans="1:11" ht="13.8" x14ac:dyDescent="0.3">
      <c r="A848" s="3"/>
      <c r="E848" s="2"/>
      <c r="F848" s="2"/>
      <c r="G848" s="2"/>
      <c r="H848" s="2"/>
      <c r="I848" s="2"/>
      <c r="J848" s="2"/>
      <c r="K848" s="2"/>
    </row>
    <row r="849" spans="1:11" ht="13.8" x14ac:dyDescent="0.3">
      <c r="A849" s="3"/>
      <c r="E849" s="2"/>
      <c r="F849" s="2"/>
      <c r="G849" s="2"/>
      <c r="H849" s="2"/>
      <c r="I849" s="2"/>
      <c r="J849" s="2"/>
      <c r="K849" s="2"/>
    </row>
    <row r="850" spans="1:11" ht="13.8" x14ac:dyDescent="0.3">
      <c r="A850" s="3"/>
      <c r="E850" s="2"/>
      <c r="F850" s="2"/>
      <c r="G850" s="2"/>
      <c r="H850" s="2"/>
      <c r="I850" s="2"/>
      <c r="J850" s="2"/>
      <c r="K850" s="2"/>
    </row>
    <row r="851" spans="1:11" ht="13.8" x14ac:dyDescent="0.3">
      <c r="A851" s="3"/>
      <c r="E851" s="2"/>
      <c r="F851" s="2"/>
      <c r="G851" s="2"/>
      <c r="H851" s="2"/>
      <c r="I851" s="2"/>
      <c r="J851" s="2"/>
      <c r="K851" s="2"/>
    </row>
    <row r="852" spans="1:11" ht="13.8" x14ac:dyDescent="0.3">
      <c r="A852" s="3"/>
      <c r="E852" s="2"/>
      <c r="F852" s="2"/>
      <c r="G852" s="2"/>
      <c r="H852" s="2"/>
      <c r="I852" s="2"/>
      <c r="J852" s="2"/>
      <c r="K852" s="2"/>
    </row>
    <row r="853" spans="1:11" ht="13.8" x14ac:dyDescent="0.3">
      <c r="A853" s="3"/>
      <c r="E853" s="2"/>
      <c r="F853" s="2"/>
      <c r="G853" s="2"/>
      <c r="H853" s="2"/>
      <c r="I853" s="2"/>
      <c r="J853" s="2"/>
      <c r="K853" s="2"/>
    </row>
    <row r="854" spans="1:11" ht="13.8" x14ac:dyDescent="0.3">
      <c r="A854" s="3"/>
      <c r="E854" s="2"/>
      <c r="F854" s="2"/>
      <c r="G854" s="2"/>
      <c r="H854" s="2"/>
      <c r="I854" s="2"/>
      <c r="J854" s="2"/>
      <c r="K854" s="2"/>
    </row>
    <row r="855" spans="1:11" ht="13.8" x14ac:dyDescent="0.3">
      <c r="A855" s="3"/>
      <c r="E855" s="2"/>
      <c r="F855" s="2"/>
      <c r="G855" s="2"/>
      <c r="H855" s="2"/>
      <c r="I855" s="2"/>
      <c r="J855" s="2"/>
      <c r="K855" s="2"/>
    </row>
    <row r="856" spans="1:11" ht="13.8" x14ac:dyDescent="0.3">
      <c r="A856" s="3"/>
      <c r="E856" s="2"/>
      <c r="F856" s="2"/>
      <c r="G856" s="2"/>
      <c r="H856" s="2"/>
      <c r="I856" s="2"/>
      <c r="J856" s="2"/>
      <c r="K856" s="2"/>
    </row>
    <row r="857" spans="1:11" ht="13.8" x14ac:dyDescent="0.3">
      <c r="A857" s="3"/>
      <c r="E857" s="2"/>
      <c r="F857" s="2"/>
      <c r="G857" s="2"/>
      <c r="H857" s="2"/>
      <c r="I857" s="2"/>
      <c r="J857" s="2"/>
      <c r="K857" s="2"/>
    </row>
    <row r="858" spans="1:11" ht="13.8" x14ac:dyDescent="0.3">
      <c r="A858" s="3"/>
      <c r="E858" s="2"/>
      <c r="F858" s="2"/>
      <c r="G858" s="2"/>
      <c r="H858" s="2"/>
      <c r="I858" s="2"/>
      <c r="J858" s="2"/>
      <c r="K858" s="2"/>
    </row>
    <row r="859" spans="1:11" ht="13.8" x14ac:dyDescent="0.3">
      <c r="A859" s="3"/>
      <c r="E859" s="2"/>
      <c r="F859" s="2"/>
      <c r="G859" s="2"/>
      <c r="H859" s="2"/>
      <c r="I859" s="2"/>
      <c r="J859" s="2"/>
      <c r="K859" s="2"/>
    </row>
    <row r="860" spans="1:11" ht="13.8" x14ac:dyDescent="0.3">
      <c r="A860" s="3"/>
      <c r="E860" s="2"/>
      <c r="F860" s="2"/>
      <c r="G860" s="2"/>
      <c r="H860" s="2"/>
      <c r="I860" s="2"/>
      <c r="J860" s="2"/>
      <c r="K860" s="2"/>
    </row>
    <row r="861" spans="1:11" ht="13.8" x14ac:dyDescent="0.3">
      <c r="A861" s="3"/>
      <c r="E861" s="2"/>
      <c r="F861" s="2"/>
      <c r="G861" s="2"/>
      <c r="H861" s="2"/>
      <c r="I861" s="2"/>
      <c r="J861" s="2"/>
      <c r="K861" s="2"/>
    </row>
    <row r="862" spans="1:11" ht="13.8" x14ac:dyDescent="0.3">
      <c r="A862" s="3"/>
      <c r="E862" s="2"/>
      <c r="F862" s="2"/>
      <c r="G862" s="2"/>
      <c r="H862" s="2"/>
      <c r="I862" s="2"/>
      <c r="J862" s="2"/>
      <c r="K862" s="2"/>
    </row>
    <row r="863" spans="1:11" ht="13.8" x14ac:dyDescent="0.3">
      <c r="A863" s="3"/>
      <c r="E863" s="2"/>
      <c r="F863" s="2"/>
      <c r="G863" s="2"/>
      <c r="H863" s="2"/>
      <c r="I863" s="2"/>
      <c r="J863" s="2"/>
      <c r="K863" s="2"/>
    </row>
    <row r="864" spans="1:11" ht="13.8" x14ac:dyDescent="0.3">
      <c r="A864" s="3"/>
      <c r="E864" s="2"/>
      <c r="F864" s="2"/>
      <c r="G864" s="2"/>
      <c r="H864" s="2"/>
      <c r="I864" s="2"/>
      <c r="J864" s="2"/>
      <c r="K864" s="2"/>
    </row>
    <row r="865" spans="1:11" ht="13.8" x14ac:dyDescent="0.3">
      <c r="A865" s="3"/>
      <c r="E865" s="2"/>
      <c r="F865" s="2"/>
      <c r="G865" s="2"/>
      <c r="H865" s="2"/>
      <c r="I865" s="2"/>
      <c r="J865" s="2"/>
      <c r="K865" s="2"/>
    </row>
    <row r="866" spans="1:11" ht="13.8" x14ac:dyDescent="0.3">
      <c r="A866" s="3"/>
      <c r="E866" s="2"/>
      <c r="F866" s="2"/>
      <c r="G866" s="2"/>
      <c r="H866" s="2"/>
      <c r="I866" s="2"/>
      <c r="J866" s="2"/>
      <c r="K866" s="2"/>
    </row>
    <row r="867" spans="1:11" ht="13.8" x14ac:dyDescent="0.3">
      <c r="A867" s="3"/>
      <c r="E867" s="2"/>
      <c r="F867" s="2"/>
      <c r="G867" s="2"/>
      <c r="H867" s="2"/>
      <c r="I867" s="2"/>
      <c r="J867" s="2"/>
      <c r="K867" s="2"/>
    </row>
    <row r="868" spans="1:11" ht="13.8" x14ac:dyDescent="0.3">
      <c r="A868" s="3"/>
      <c r="E868" s="2"/>
      <c r="F868" s="2"/>
      <c r="G868" s="2"/>
      <c r="H868" s="2"/>
      <c r="I868" s="2"/>
      <c r="J868" s="2"/>
      <c r="K868" s="2"/>
    </row>
    <row r="869" spans="1:11" ht="13.8" x14ac:dyDescent="0.3">
      <c r="A869" s="3"/>
      <c r="E869" s="2"/>
      <c r="F869" s="2"/>
      <c r="G869" s="2"/>
      <c r="H869" s="2"/>
      <c r="I869" s="2"/>
      <c r="J869" s="2"/>
      <c r="K869" s="2"/>
    </row>
    <row r="870" spans="1:11" ht="13.8" x14ac:dyDescent="0.3">
      <c r="A870" s="3"/>
      <c r="E870" s="2"/>
      <c r="F870" s="2"/>
      <c r="G870" s="2"/>
      <c r="H870" s="2"/>
      <c r="I870" s="2"/>
      <c r="J870" s="2"/>
      <c r="K870" s="2"/>
    </row>
    <row r="871" spans="1:11" ht="13.8" x14ac:dyDescent="0.3">
      <c r="A871" s="3"/>
      <c r="E871" s="2"/>
      <c r="F871" s="2"/>
      <c r="G871" s="2"/>
      <c r="H871" s="2"/>
      <c r="I871" s="2"/>
      <c r="J871" s="2"/>
      <c r="K871" s="2"/>
    </row>
    <row r="872" spans="1:11" ht="13.8" x14ac:dyDescent="0.3">
      <c r="A872" s="3"/>
      <c r="E872" s="2"/>
      <c r="F872" s="2"/>
      <c r="G872" s="2"/>
      <c r="H872" s="2"/>
      <c r="I872" s="2"/>
      <c r="J872" s="2"/>
      <c r="K872" s="2"/>
    </row>
    <row r="873" spans="1:11" ht="13.8" x14ac:dyDescent="0.3">
      <c r="A873" s="3"/>
      <c r="E873" s="2"/>
      <c r="F873" s="2"/>
      <c r="G873" s="2"/>
      <c r="H873" s="2"/>
      <c r="I873" s="2"/>
      <c r="J873" s="2"/>
      <c r="K873" s="2"/>
    </row>
    <row r="874" spans="1:11" ht="13.8" x14ac:dyDescent="0.3">
      <c r="A874" s="3"/>
      <c r="E874" s="2"/>
      <c r="F874" s="2"/>
      <c r="G874" s="2"/>
      <c r="H874" s="2"/>
      <c r="I874" s="2"/>
      <c r="J874" s="2"/>
      <c r="K874" s="2"/>
    </row>
    <row r="875" spans="1:11" ht="13.8" x14ac:dyDescent="0.3">
      <c r="A875" s="3"/>
      <c r="E875" s="2"/>
      <c r="F875" s="2"/>
      <c r="G875" s="2"/>
      <c r="H875" s="2"/>
      <c r="I875" s="2"/>
      <c r="J875" s="2"/>
      <c r="K875" s="2"/>
    </row>
    <row r="876" spans="1:11" ht="13.8" x14ac:dyDescent="0.3">
      <c r="A876" s="3"/>
      <c r="E876" s="2"/>
      <c r="F876" s="2"/>
      <c r="G876" s="2"/>
      <c r="H876" s="2"/>
      <c r="I876" s="2"/>
      <c r="J876" s="2"/>
      <c r="K876" s="2"/>
    </row>
    <row r="877" spans="1:11" ht="13.8" x14ac:dyDescent="0.3">
      <c r="A877" s="3"/>
      <c r="E877" s="2"/>
      <c r="F877" s="2"/>
      <c r="G877" s="2"/>
      <c r="H877" s="2"/>
      <c r="I877" s="2"/>
      <c r="J877" s="2"/>
      <c r="K877" s="2"/>
    </row>
    <row r="878" spans="1:11" ht="13.8" x14ac:dyDescent="0.3">
      <c r="A878" s="3"/>
      <c r="E878" s="2"/>
      <c r="F878" s="2"/>
      <c r="G878" s="2"/>
      <c r="H878" s="2"/>
      <c r="I878" s="2"/>
      <c r="J878" s="2"/>
      <c r="K878" s="2"/>
    </row>
    <row r="879" spans="1:11" ht="13.8" x14ac:dyDescent="0.3">
      <c r="A879" s="3"/>
      <c r="E879" s="2"/>
      <c r="F879" s="2"/>
      <c r="G879" s="2"/>
      <c r="H879" s="2"/>
      <c r="I879" s="2"/>
      <c r="J879" s="2"/>
      <c r="K879" s="2"/>
    </row>
    <row r="880" spans="1:11" ht="13.8" x14ac:dyDescent="0.3">
      <c r="A880" s="3"/>
      <c r="E880" s="2"/>
      <c r="F880" s="2"/>
      <c r="G880" s="2"/>
      <c r="H880" s="2"/>
      <c r="I880" s="2"/>
      <c r="J880" s="2"/>
      <c r="K880" s="2"/>
    </row>
    <row r="881" spans="1:11" ht="13.8" x14ac:dyDescent="0.3">
      <c r="A881" s="3"/>
      <c r="E881" s="2"/>
      <c r="F881" s="2"/>
      <c r="G881" s="2"/>
      <c r="H881" s="2"/>
      <c r="I881" s="2"/>
      <c r="J881" s="2"/>
      <c r="K881" s="2"/>
    </row>
    <row r="882" spans="1:11" ht="13.8" x14ac:dyDescent="0.3">
      <c r="A882" s="3"/>
      <c r="E882" s="2"/>
      <c r="F882" s="2"/>
      <c r="G882" s="2"/>
      <c r="H882" s="2"/>
      <c r="I882" s="2"/>
      <c r="J882" s="2"/>
      <c r="K882" s="2"/>
    </row>
    <row r="883" spans="1:11" ht="13.8" x14ac:dyDescent="0.3">
      <c r="A883" s="3"/>
      <c r="E883" s="2"/>
      <c r="F883" s="2"/>
      <c r="G883" s="2"/>
      <c r="H883" s="2"/>
      <c r="I883" s="2"/>
      <c r="J883" s="2"/>
      <c r="K883" s="2"/>
    </row>
    <row r="884" spans="1:11" ht="13.8" x14ac:dyDescent="0.3">
      <c r="A884" s="3"/>
      <c r="E884" s="2"/>
      <c r="F884" s="2"/>
      <c r="G884" s="2"/>
      <c r="H884" s="2"/>
      <c r="I884" s="2"/>
      <c r="J884" s="2"/>
      <c r="K884" s="2"/>
    </row>
    <row r="885" spans="1:11" ht="13.8" x14ac:dyDescent="0.3">
      <c r="A885" s="3"/>
      <c r="E885" s="2"/>
      <c r="F885" s="2"/>
      <c r="G885" s="2"/>
      <c r="H885" s="2"/>
      <c r="I885" s="2"/>
      <c r="J885" s="2"/>
      <c r="K885" s="2"/>
    </row>
    <row r="886" spans="1:11" ht="13.8" x14ac:dyDescent="0.3">
      <c r="A886" s="3"/>
      <c r="E886" s="2"/>
      <c r="F886" s="2"/>
      <c r="G886" s="2"/>
      <c r="H886" s="2"/>
      <c r="I886" s="2"/>
      <c r="J886" s="2"/>
      <c r="K886" s="2"/>
    </row>
    <row r="887" spans="1:11" ht="13.8" x14ac:dyDescent="0.3">
      <c r="A887" s="3"/>
      <c r="E887" s="2"/>
      <c r="F887" s="2"/>
      <c r="G887" s="2"/>
      <c r="H887" s="2"/>
      <c r="I887" s="2"/>
      <c r="J887" s="2"/>
      <c r="K887" s="2"/>
    </row>
    <row r="888" spans="1:11" ht="13.8" x14ac:dyDescent="0.3">
      <c r="A888" s="3"/>
      <c r="E888" s="2"/>
      <c r="F888" s="2"/>
      <c r="G888" s="2"/>
      <c r="H888" s="2"/>
      <c r="I888" s="2"/>
      <c r="J888" s="2"/>
      <c r="K888" s="2"/>
    </row>
    <row r="889" spans="1:11" ht="13.8" x14ac:dyDescent="0.3">
      <c r="A889" s="3"/>
      <c r="E889" s="2"/>
      <c r="F889" s="2"/>
      <c r="G889" s="2"/>
      <c r="H889" s="2"/>
      <c r="I889" s="2"/>
      <c r="J889" s="2"/>
      <c r="K889" s="2"/>
    </row>
    <row r="890" spans="1:11" ht="13.8" x14ac:dyDescent="0.3">
      <c r="A890" s="3"/>
      <c r="E890" s="2"/>
      <c r="F890" s="2"/>
      <c r="G890" s="2"/>
      <c r="H890" s="2"/>
      <c r="I890" s="2"/>
      <c r="J890" s="2"/>
      <c r="K890" s="2"/>
    </row>
    <row r="891" spans="1:11" ht="13.8" x14ac:dyDescent="0.3">
      <c r="A891" s="3"/>
      <c r="E891" s="2"/>
      <c r="F891" s="2"/>
      <c r="G891" s="2"/>
      <c r="H891" s="2"/>
      <c r="I891" s="2"/>
      <c r="J891" s="2"/>
      <c r="K891" s="2"/>
    </row>
    <row r="892" spans="1:11" ht="13.8" x14ac:dyDescent="0.3">
      <c r="A892" s="3"/>
      <c r="E892" s="2"/>
      <c r="F892" s="2"/>
      <c r="G892" s="2"/>
      <c r="H892" s="2"/>
      <c r="I892" s="2"/>
      <c r="J892" s="2"/>
      <c r="K892" s="2"/>
    </row>
    <row r="893" spans="1:11" ht="13.8" x14ac:dyDescent="0.3">
      <c r="A893" s="3"/>
      <c r="E893" s="2"/>
      <c r="F893" s="2"/>
      <c r="G893" s="2"/>
      <c r="H893" s="2"/>
      <c r="I893" s="2"/>
      <c r="J893" s="2"/>
      <c r="K893" s="2"/>
    </row>
    <row r="894" spans="1:11" ht="13.8" x14ac:dyDescent="0.3">
      <c r="A894" s="3"/>
      <c r="E894" s="2"/>
      <c r="F894" s="2"/>
      <c r="G894" s="2"/>
      <c r="H894" s="2"/>
      <c r="I894" s="2"/>
      <c r="J894" s="2"/>
      <c r="K894" s="2"/>
    </row>
    <row r="895" spans="1:11" ht="13.8" x14ac:dyDescent="0.3">
      <c r="A895" s="3"/>
      <c r="E895" s="2"/>
      <c r="F895" s="2"/>
      <c r="G895" s="2"/>
      <c r="H895" s="2"/>
      <c r="I895" s="2"/>
      <c r="J895" s="2"/>
      <c r="K895" s="2"/>
    </row>
    <row r="896" spans="1:11" ht="13.8" x14ac:dyDescent="0.3">
      <c r="A896" s="3"/>
      <c r="E896" s="2"/>
      <c r="F896" s="2"/>
      <c r="G896" s="2"/>
      <c r="H896" s="2"/>
      <c r="I896" s="2"/>
      <c r="J896" s="2"/>
      <c r="K896" s="2"/>
    </row>
    <row r="897" spans="1:11" ht="13.8" x14ac:dyDescent="0.3">
      <c r="A897" s="3"/>
      <c r="E897" s="2"/>
      <c r="F897" s="2"/>
      <c r="G897" s="2"/>
      <c r="H897" s="2"/>
      <c r="I897" s="2"/>
      <c r="J897" s="2"/>
      <c r="K897" s="2"/>
    </row>
    <row r="898" spans="1:11" ht="13.8" x14ac:dyDescent="0.3">
      <c r="A898" s="3"/>
      <c r="E898" s="2"/>
      <c r="F898" s="2"/>
      <c r="G898" s="2"/>
      <c r="H898" s="2"/>
      <c r="I898" s="2"/>
      <c r="J898" s="2"/>
      <c r="K898" s="2"/>
    </row>
    <row r="899" spans="1:11" ht="13.8" x14ac:dyDescent="0.3">
      <c r="A899" s="3"/>
      <c r="E899" s="2"/>
      <c r="F899" s="2"/>
      <c r="G899" s="2"/>
      <c r="H899" s="2"/>
      <c r="I899" s="2"/>
      <c r="J899" s="2"/>
      <c r="K899" s="2"/>
    </row>
    <row r="900" spans="1:11" ht="13.8" x14ac:dyDescent="0.3">
      <c r="A900" s="3"/>
      <c r="E900" s="2"/>
      <c r="F900" s="2"/>
      <c r="G900" s="2"/>
      <c r="H900" s="2"/>
      <c r="I900" s="2"/>
      <c r="J900" s="2"/>
      <c r="K900" s="2"/>
    </row>
    <row r="901" spans="1:11" ht="13.8" x14ac:dyDescent="0.3">
      <c r="A901" s="3"/>
      <c r="E901" s="2"/>
      <c r="F901" s="2"/>
      <c r="G901" s="2"/>
      <c r="H901" s="2"/>
      <c r="I901" s="2"/>
      <c r="J901" s="2"/>
      <c r="K901" s="2"/>
    </row>
    <row r="902" spans="1:11" ht="13.8" x14ac:dyDescent="0.3">
      <c r="A902" s="3"/>
      <c r="E902" s="2"/>
      <c r="F902" s="2"/>
      <c r="G902" s="2"/>
      <c r="H902" s="2"/>
      <c r="I902" s="2"/>
      <c r="J902" s="2"/>
      <c r="K902" s="2"/>
    </row>
    <row r="903" spans="1:11" ht="13.8" x14ac:dyDescent="0.3">
      <c r="A903" s="3"/>
      <c r="E903" s="2"/>
      <c r="F903" s="2"/>
      <c r="G903" s="2"/>
      <c r="H903" s="2"/>
      <c r="I903" s="2"/>
      <c r="J903" s="2"/>
      <c r="K903" s="2"/>
    </row>
    <row r="904" spans="1:11" ht="13.8" x14ac:dyDescent="0.3">
      <c r="A904" s="3"/>
      <c r="E904" s="2"/>
      <c r="F904" s="2"/>
      <c r="G904" s="2"/>
      <c r="H904" s="2"/>
      <c r="I904" s="2"/>
      <c r="J904" s="2"/>
      <c r="K904" s="2"/>
    </row>
    <row r="905" spans="1:11" ht="13.8" x14ac:dyDescent="0.3">
      <c r="A905" s="3"/>
      <c r="E905" s="2"/>
      <c r="F905" s="2"/>
      <c r="G905" s="2"/>
      <c r="H905" s="2"/>
      <c r="I905" s="2"/>
      <c r="J905" s="2"/>
      <c r="K905" s="2"/>
    </row>
    <row r="906" spans="1:11" ht="13.8" x14ac:dyDescent="0.3">
      <c r="A906" s="3"/>
      <c r="E906" s="2"/>
      <c r="F906" s="2"/>
      <c r="G906" s="2"/>
      <c r="H906" s="2"/>
      <c r="I906" s="2"/>
      <c r="J906" s="2"/>
      <c r="K906" s="2"/>
    </row>
    <row r="907" spans="1:11" ht="13.8" x14ac:dyDescent="0.3">
      <c r="A907" s="3"/>
      <c r="E907" s="2"/>
      <c r="F907" s="2"/>
      <c r="G907" s="2"/>
      <c r="H907" s="2"/>
      <c r="I907" s="2"/>
      <c r="J907" s="2"/>
      <c r="K907" s="2"/>
    </row>
    <row r="908" spans="1:11" ht="13.8" x14ac:dyDescent="0.3">
      <c r="A908" s="3"/>
      <c r="E908" s="2"/>
      <c r="F908" s="2"/>
      <c r="G908" s="2"/>
      <c r="H908" s="2"/>
      <c r="I908" s="2"/>
      <c r="J908" s="2"/>
      <c r="K908" s="2"/>
    </row>
    <row r="909" spans="1:11" ht="13.8" x14ac:dyDescent="0.3">
      <c r="A909" s="3"/>
      <c r="E909" s="2"/>
      <c r="F909" s="2"/>
      <c r="G909" s="2"/>
      <c r="H909" s="2"/>
      <c r="I909" s="2"/>
      <c r="J909" s="2"/>
      <c r="K909" s="2"/>
    </row>
    <row r="910" spans="1:11" ht="13.8" x14ac:dyDescent="0.3">
      <c r="A910" s="3"/>
      <c r="E910" s="2"/>
      <c r="F910" s="2"/>
      <c r="G910" s="2"/>
      <c r="H910" s="2"/>
      <c r="I910" s="2"/>
      <c r="J910" s="2"/>
      <c r="K910" s="2"/>
    </row>
    <row r="911" spans="1:11" ht="13.8" x14ac:dyDescent="0.3">
      <c r="A911" s="3"/>
      <c r="E911" s="2"/>
      <c r="F911" s="2"/>
      <c r="G911" s="2"/>
      <c r="H911" s="2"/>
      <c r="I911" s="2"/>
      <c r="J911" s="2"/>
      <c r="K911" s="2"/>
    </row>
    <row r="912" spans="1:11" ht="13.8" x14ac:dyDescent="0.3">
      <c r="A912" s="3"/>
      <c r="E912" s="2"/>
      <c r="F912" s="2"/>
      <c r="G912" s="2"/>
      <c r="H912" s="2"/>
      <c r="I912" s="2"/>
      <c r="J912" s="2"/>
      <c r="K912" s="2"/>
    </row>
    <row r="913" spans="1:11" ht="13.8" x14ac:dyDescent="0.3">
      <c r="A913" s="3"/>
      <c r="E913" s="2"/>
      <c r="F913" s="2"/>
      <c r="G913" s="2"/>
      <c r="H913" s="2"/>
      <c r="I913" s="2"/>
      <c r="J913" s="2"/>
      <c r="K913" s="2"/>
    </row>
    <row r="914" spans="1:11" ht="13.8" x14ac:dyDescent="0.3">
      <c r="A914" s="3"/>
      <c r="E914" s="2"/>
      <c r="F914" s="2"/>
      <c r="G914" s="2"/>
      <c r="H914" s="2"/>
      <c r="I914" s="2"/>
      <c r="J914" s="2"/>
      <c r="K914" s="2"/>
    </row>
    <row r="915" spans="1:11" ht="13.8" x14ac:dyDescent="0.3">
      <c r="A915" s="3"/>
      <c r="E915" s="2"/>
      <c r="F915" s="2"/>
      <c r="G915" s="2"/>
      <c r="H915" s="2"/>
      <c r="I915" s="2"/>
      <c r="J915" s="2"/>
      <c r="K915" s="2"/>
    </row>
    <row r="916" spans="1:11" ht="13.8" x14ac:dyDescent="0.3">
      <c r="A916" s="3"/>
      <c r="E916" s="2"/>
      <c r="F916" s="2"/>
      <c r="G916" s="2"/>
      <c r="H916" s="2"/>
      <c r="I916" s="2"/>
      <c r="J916" s="2"/>
      <c r="K916" s="2"/>
    </row>
    <row r="917" spans="1:11" ht="13.8" x14ac:dyDescent="0.3">
      <c r="A917" s="3"/>
      <c r="E917" s="2"/>
      <c r="F917" s="2"/>
      <c r="G917" s="2"/>
      <c r="H917" s="2"/>
      <c r="I917" s="2"/>
      <c r="J917" s="2"/>
      <c r="K917" s="2"/>
    </row>
    <row r="918" spans="1:11" ht="13.8" x14ac:dyDescent="0.3">
      <c r="A918" s="3"/>
      <c r="E918" s="2"/>
      <c r="F918" s="2"/>
      <c r="G918" s="2"/>
      <c r="H918" s="2"/>
      <c r="I918" s="2"/>
      <c r="J918" s="2"/>
      <c r="K918" s="2"/>
    </row>
    <row r="919" spans="1:11" ht="13.8" x14ac:dyDescent="0.3">
      <c r="A919" s="3"/>
      <c r="E919" s="2"/>
      <c r="F919" s="2"/>
      <c r="G919" s="2"/>
      <c r="H919" s="2"/>
      <c r="I919" s="2"/>
      <c r="J919" s="2"/>
      <c r="K919" s="2"/>
    </row>
    <row r="920" spans="1:11" ht="13.8" x14ac:dyDescent="0.3">
      <c r="A920" s="3"/>
      <c r="E920" s="2"/>
      <c r="F920" s="2"/>
      <c r="G920" s="2"/>
      <c r="H920" s="2"/>
      <c r="I920" s="2"/>
      <c r="J920" s="2"/>
      <c r="K920" s="2"/>
    </row>
    <row r="921" spans="1:11" ht="13.8" x14ac:dyDescent="0.3">
      <c r="A921" s="3"/>
      <c r="E921" s="2"/>
      <c r="F921" s="2"/>
      <c r="G921" s="2"/>
      <c r="H921" s="2"/>
      <c r="I921" s="2"/>
      <c r="J921" s="2"/>
      <c r="K921" s="2"/>
    </row>
    <row r="922" spans="1:11" ht="13.8" x14ac:dyDescent="0.3">
      <c r="A922" s="3"/>
      <c r="E922" s="2"/>
      <c r="F922" s="2"/>
      <c r="G922" s="2"/>
      <c r="H922" s="2"/>
      <c r="I922" s="2"/>
      <c r="J922" s="2"/>
      <c r="K922" s="2"/>
    </row>
    <row r="923" spans="1:11" ht="13.8" x14ac:dyDescent="0.3">
      <c r="A923" s="3"/>
      <c r="E923" s="2"/>
      <c r="F923" s="2"/>
      <c r="G923" s="2"/>
      <c r="H923" s="2"/>
      <c r="I923" s="2"/>
      <c r="J923" s="2"/>
      <c r="K923" s="2"/>
    </row>
    <row r="924" spans="1:11" ht="13.8" x14ac:dyDescent="0.3">
      <c r="A924" s="3"/>
      <c r="E924" s="2"/>
      <c r="F924" s="2"/>
      <c r="G924" s="2"/>
      <c r="H924" s="2"/>
      <c r="I924" s="2"/>
      <c r="J924" s="2"/>
      <c r="K924" s="2"/>
    </row>
    <row r="925" spans="1:11" ht="13.8" x14ac:dyDescent="0.3">
      <c r="A925" s="3"/>
      <c r="E925" s="2"/>
      <c r="F925" s="2"/>
      <c r="G925" s="2"/>
      <c r="H925" s="2"/>
      <c r="I925" s="2"/>
      <c r="J925" s="2"/>
      <c r="K925" s="2"/>
    </row>
    <row r="926" spans="1:11" ht="13.8" x14ac:dyDescent="0.3">
      <c r="A926" s="3"/>
      <c r="E926" s="2"/>
      <c r="F926" s="2"/>
      <c r="G926" s="2"/>
      <c r="H926" s="2"/>
      <c r="I926" s="2"/>
      <c r="J926" s="2"/>
      <c r="K926" s="2"/>
    </row>
    <row r="927" spans="1:11" ht="13.8" x14ac:dyDescent="0.3">
      <c r="A927" s="3"/>
      <c r="E927" s="2"/>
      <c r="F927" s="2"/>
      <c r="G927" s="2"/>
      <c r="H927" s="2"/>
      <c r="I927" s="2"/>
      <c r="J927" s="2"/>
      <c r="K927" s="2"/>
    </row>
    <row r="928" spans="1:11" ht="13.8" x14ac:dyDescent="0.3">
      <c r="A928" s="3"/>
      <c r="E928" s="2"/>
      <c r="F928" s="2"/>
      <c r="G928" s="2"/>
      <c r="H928" s="2"/>
      <c r="I928" s="2"/>
      <c r="J928" s="2"/>
      <c r="K928" s="2"/>
    </row>
    <row r="929" spans="1:11" ht="13.8" x14ac:dyDescent="0.3">
      <c r="A929" s="3"/>
      <c r="E929" s="2"/>
      <c r="F929" s="2"/>
      <c r="G929" s="2"/>
      <c r="H929" s="2"/>
      <c r="I929" s="2"/>
      <c r="J929" s="2"/>
      <c r="K929" s="2"/>
    </row>
    <row r="930" spans="1:11" ht="13.8" x14ac:dyDescent="0.3">
      <c r="A930" s="3"/>
      <c r="E930" s="2"/>
      <c r="F930" s="2"/>
      <c r="G930" s="2"/>
      <c r="H930" s="2"/>
      <c r="I930" s="2"/>
      <c r="J930" s="2"/>
      <c r="K930" s="2"/>
    </row>
    <row r="931" spans="1:11" ht="13.8" x14ac:dyDescent="0.3">
      <c r="A931" s="3"/>
      <c r="E931" s="2"/>
      <c r="F931" s="2"/>
      <c r="G931" s="2"/>
      <c r="H931" s="2"/>
      <c r="I931" s="2"/>
      <c r="J931" s="2"/>
      <c r="K931" s="2"/>
    </row>
    <row r="932" spans="1:11" ht="13.8" x14ac:dyDescent="0.3">
      <c r="A932" s="3"/>
      <c r="E932" s="2"/>
      <c r="F932" s="2"/>
      <c r="G932" s="2"/>
      <c r="H932" s="2"/>
      <c r="I932" s="2"/>
      <c r="J932" s="2"/>
      <c r="K932" s="2"/>
    </row>
    <row r="933" spans="1:11" ht="13.8" x14ac:dyDescent="0.3">
      <c r="A933" s="3"/>
      <c r="E933" s="2"/>
      <c r="F933" s="2"/>
      <c r="G933" s="2"/>
      <c r="H933" s="2"/>
      <c r="I933" s="2"/>
      <c r="J933" s="2"/>
      <c r="K933" s="2"/>
    </row>
    <row r="934" spans="1:11" ht="13.8" x14ac:dyDescent="0.3">
      <c r="A934" s="3"/>
      <c r="E934" s="2"/>
      <c r="F934" s="2"/>
      <c r="G934" s="2"/>
      <c r="H934" s="2"/>
      <c r="I934" s="2"/>
      <c r="J934" s="2"/>
      <c r="K934" s="2"/>
    </row>
    <row r="935" spans="1:11" ht="13.8" x14ac:dyDescent="0.3">
      <c r="A935" s="3"/>
      <c r="E935" s="2"/>
      <c r="F935" s="2"/>
      <c r="G935" s="2"/>
      <c r="H935" s="2"/>
      <c r="I935" s="2"/>
      <c r="J935" s="2"/>
      <c r="K935" s="2"/>
    </row>
    <row r="936" spans="1:11" ht="13.8" x14ac:dyDescent="0.3">
      <c r="A936" s="3"/>
      <c r="E936" s="2"/>
      <c r="F936" s="2"/>
      <c r="G936" s="2"/>
      <c r="H936" s="2"/>
      <c r="I936" s="2"/>
      <c r="J936" s="2"/>
      <c r="K936" s="2"/>
    </row>
    <row r="937" spans="1:11" ht="13.8" x14ac:dyDescent="0.3">
      <c r="A937" s="3"/>
      <c r="E937" s="2"/>
      <c r="F937" s="2"/>
      <c r="G937" s="2"/>
      <c r="H937" s="2"/>
      <c r="I937" s="2"/>
      <c r="J937" s="2"/>
      <c r="K937" s="2"/>
    </row>
    <row r="938" spans="1:11" ht="13.8" x14ac:dyDescent="0.3">
      <c r="A938" s="3"/>
      <c r="E938" s="2"/>
      <c r="F938" s="2"/>
      <c r="G938" s="2"/>
      <c r="H938" s="2"/>
      <c r="I938" s="2"/>
      <c r="J938" s="2"/>
      <c r="K938" s="2"/>
    </row>
    <row r="939" spans="1:11" ht="13.8" x14ac:dyDescent="0.3">
      <c r="A939" s="3"/>
      <c r="E939" s="2"/>
      <c r="F939" s="2"/>
      <c r="G939" s="2"/>
      <c r="H939" s="2"/>
      <c r="I939" s="2"/>
      <c r="J939" s="2"/>
      <c r="K939" s="2"/>
    </row>
    <row r="940" spans="1:11" ht="13.8" x14ac:dyDescent="0.3">
      <c r="A940" s="3"/>
      <c r="E940" s="2"/>
      <c r="F940" s="2"/>
      <c r="G940" s="2"/>
      <c r="H940" s="2"/>
      <c r="I940" s="2"/>
      <c r="J940" s="2"/>
      <c r="K940" s="2"/>
    </row>
    <row r="941" spans="1:11" ht="13.8" x14ac:dyDescent="0.3">
      <c r="A941" s="3"/>
      <c r="E941" s="2"/>
      <c r="F941" s="2"/>
      <c r="G941" s="2"/>
      <c r="H941" s="2"/>
      <c r="I941" s="2"/>
      <c r="J941" s="2"/>
      <c r="K941" s="2"/>
    </row>
    <row r="942" spans="1:11" ht="13.8" x14ac:dyDescent="0.3">
      <c r="A942" s="3"/>
      <c r="E942" s="2"/>
      <c r="F942" s="2"/>
      <c r="G942" s="2"/>
      <c r="H942" s="2"/>
      <c r="I942" s="2"/>
      <c r="J942" s="2"/>
      <c r="K942" s="2"/>
    </row>
    <row r="943" spans="1:11" ht="13.8" x14ac:dyDescent="0.3">
      <c r="A943" s="3"/>
      <c r="E943" s="2"/>
      <c r="F943" s="2"/>
      <c r="G943" s="2"/>
      <c r="H943" s="2"/>
      <c r="I943" s="2"/>
      <c r="J943" s="2"/>
      <c r="K943" s="2"/>
    </row>
    <row r="944" spans="1:11" ht="13.8" x14ac:dyDescent="0.3">
      <c r="A944" s="3"/>
      <c r="E944" s="2"/>
      <c r="F944" s="2"/>
      <c r="G944" s="2"/>
      <c r="H944" s="2"/>
      <c r="I944" s="2"/>
      <c r="J944" s="2"/>
      <c r="K944" s="2"/>
    </row>
    <row r="945" spans="1:11" ht="13.8" x14ac:dyDescent="0.3">
      <c r="A945" s="3"/>
      <c r="E945" s="2"/>
      <c r="F945" s="2"/>
      <c r="G945" s="2"/>
      <c r="H945" s="2"/>
      <c r="I945" s="2"/>
      <c r="J945" s="2"/>
      <c r="K945" s="2"/>
    </row>
    <row r="946" spans="1:11" ht="13.8" x14ac:dyDescent="0.3">
      <c r="A946" s="3"/>
      <c r="E946" s="2"/>
      <c r="F946" s="2"/>
      <c r="G946" s="2"/>
      <c r="H946" s="2"/>
      <c r="I946" s="2"/>
      <c r="J946" s="2"/>
      <c r="K946" s="2"/>
    </row>
    <row r="947" spans="1:11" ht="13.8" x14ac:dyDescent="0.3">
      <c r="A947" s="3"/>
      <c r="E947" s="2"/>
      <c r="F947" s="2"/>
      <c r="G947" s="2"/>
      <c r="H947" s="2"/>
      <c r="I947" s="2"/>
      <c r="J947" s="2"/>
      <c r="K947" s="2"/>
    </row>
    <row r="948" spans="1:11" ht="13.8" x14ac:dyDescent="0.3">
      <c r="A948" s="3"/>
      <c r="E948" s="2"/>
      <c r="F948" s="2"/>
      <c r="G948" s="2"/>
      <c r="H948" s="2"/>
      <c r="I948" s="2"/>
      <c r="J948" s="2"/>
      <c r="K948" s="2"/>
    </row>
    <row r="949" spans="1:11" ht="13.8" x14ac:dyDescent="0.3">
      <c r="A949" s="3"/>
      <c r="E949" s="2"/>
      <c r="F949" s="2"/>
      <c r="G949" s="2"/>
      <c r="H949" s="2"/>
      <c r="I949" s="2"/>
      <c r="J949" s="2"/>
      <c r="K949" s="2"/>
    </row>
    <row r="950" spans="1:11" ht="13.8" x14ac:dyDescent="0.3">
      <c r="A950" s="3"/>
      <c r="E950" s="2"/>
      <c r="F950" s="2"/>
      <c r="G950" s="2"/>
      <c r="H950" s="2"/>
      <c r="I950" s="2"/>
      <c r="J950" s="2"/>
      <c r="K950" s="2"/>
    </row>
    <row r="951" spans="1:11" ht="13.8" x14ac:dyDescent="0.3">
      <c r="A951" s="3"/>
      <c r="E951" s="2"/>
      <c r="F951" s="2"/>
      <c r="G951" s="2"/>
      <c r="H951" s="2"/>
      <c r="I951" s="2"/>
      <c r="J951" s="2"/>
      <c r="K951" s="2"/>
    </row>
    <row r="952" spans="1:11" ht="13.8" x14ac:dyDescent="0.3">
      <c r="A952" s="3"/>
      <c r="E952" s="2"/>
      <c r="F952" s="2"/>
      <c r="G952" s="2"/>
      <c r="H952" s="2"/>
      <c r="I952" s="2"/>
      <c r="J952" s="2"/>
      <c r="K952" s="2"/>
    </row>
    <row r="953" spans="1:11" ht="13.8" x14ac:dyDescent="0.3">
      <c r="A953" s="3"/>
      <c r="E953" s="2"/>
      <c r="F953" s="2"/>
      <c r="G953" s="2"/>
      <c r="H953" s="2"/>
      <c r="I953" s="2"/>
      <c r="J953" s="2"/>
      <c r="K953" s="2"/>
    </row>
    <row r="954" spans="1:11" ht="13.8" x14ac:dyDescent="0.3">
      <c r="A954" s="3"/>
      <c r="E954" s="2"/>
      <c r="F954" s="2"/>
      <c r="G954" s="2"/>
      <c r="H954" s="2"/>
      <c r="I954" s="2"/>
      <c r="J954" s="2"/>
      <c r="K954" s="2"/>
    </row>
    <row r="955" spans="1:11" ht="13.8" x14ac:dyDescent="0.3">
      <c r="A955" s="3"/>
      <c r="E955" s="2"/>
      <c r="F955" s="2"/>
      <c r="G955" s="2"/>
      <c r="H955" s="2"/>
      <c r="I955" s="2"/>
      <c r="J955" s="2"/>
      <c r="K955" s="2"/>
    </row>
    <row r="956" spans="1:11" ht="13.8" x14ac:dyDescent="0.3">
      <c r="A956" s="3"/>
      <c r="E956" s="2"/>
      <c r="F956" s="2"/>
      <c r="G956" s="2"/>
      <c r="H956" s="2"/>
      <c r="I956" s="2"/>
      <c r="J956" s="2"/>
      <c r="K956" s="2"/>
    </row>
    <row r="957" spans="1:11" ht="13.8" x14ac:dyDescent="0.3">
      <c r="A957" s="3"/>
      <c r="E957" s="2"/>
      <c r="F957" s="2"/>
      <c r="G957" s="2"/>
      <c r="H957" s="2"/>
      <c r="I957" s="2"/>
      <c r="J957" s="2"/>
      <c r="K957" s="2"/>
    </row>
    <row r="958" spans="1:11" ht="13.8" x14ac:dyDescent="0.3">
      <c r="A958" s="3"/>
      <c r="E958" s="2"/>
      <c r="F958" s="2"/>
      <c r="G958" s="2"/>
      <c r="H958" s="2"/>
      <c r="I958" s="2"/>
      <c r="J958" s="2"/>
      <c r="K958" s="2"/>
    </row>
    <row r="959" spans="1:11" ht="13.8" x14ac:dyDescent="0.3">
      <c r="A959" s="3"/>
      <c r="E959" s="2"/>
      <c r="F959" s="2"/>
      <c r="G959" s="2"/>
      <c r="H959" s="2"/>
      <c r="I959" s="2"/>
      <c r="J959" s="2"/>
      <c r="K959" s="2"/>
    </row>
    <row r="960" spans="1:11" ht="13.8" x14ac:dyDescent="0.3">
      <c r="A960" s="3"/>
      <c r="E960" s="2"/>
      <c r="F960" s="2"/>
      <c r="G960" s="2"/>
      <c r="H960" s="2"/>
      <c r="I960" s="2"/>
      <c r="J960" s="2"/>
      <c r="K960" s="2"/>
    </row>
    <row r="961" spans="1:11" ht="13.8" x14ac:dyDescent="0.3">
      <c r="A961" s="3"/>
      <c r="E961" s="2"/>
      <c r="F961" s="2"/>
      <c r="G961" s="2"/>
      <c r="H961" s="2"/>
      <c r="I961" s="2"/>
      <c r="J961" s="2"/>
      <c r="K961" s="2"/>
    </row>
    <row r="962" spans="1:11" ht="13.8" x14ac:dyDescent="0.3">
      <c r="A962" s="3"/>
      <c r="E962" s="2"/>
      <c r="F962" s="2"/>
      <c r="G962" s="2"/>
      <c r="H962" s="2"/>
      <c r="I962" s="2"/>
      <c r="J962" s="2"/>
      <c r="K962" s="2"/>
    </row>
    <row r="963" spans="1:11" ht="13.8" x14ac:dyDescent="0.3">
      <c r="A963" s="3"/>
      <c r="E963" s="2"/>
      <c r="F963" s="2"/>
      <c r="G963" s="2"/>
      <c r="H963" s="2"/>
      <c r="I963" s="2"/>
      <c r="J963" s="2"/>
      <c r="K963" s="2"/>
    </row>
    <row r="964" spans="1:11" ht="13.8" x14ac:dyDescent="0.3">
      <c r="A964" s="3"/>
      <c r="E964" s="2"/>
      <c r="F964" s="2"/>
      <c r="G964" s="2"/>
      <c r="H964" s="2"/>
      <c r="I964" s="2"/>
      <c r="J964" s="2"/>
      <c r="K964" s="2"/>
    </row>
    <row r="965" spans="1:11" ht="13.8" x14ac:dyDescent="0.3">
      <c r="A965" s="3"/>
      <c r="E965" s="2"/>
      <c r="F965" s="2"/>
      <c r="G965" s="2"/>
      <c r="H965" s="2"/>
      <c r="I965" s="2"/>
      <c r="J965" s="2"/>
      <c r="K965" s="2"/>
    </row>
    <row r="966" spans="1:11" ht="13.8" x14ac:dyDescent="0.3">
      <c r="A966" s="3"/>
      <c r="E966" s="2"/>
      <c r="F966" s="2"/>
      <c r="G966" s="2"/>
      <c r="H966" s="2"/>
      <c r="I966" s="2"/>
      <c r="J966" s="2"/>
      <c r="K966" s="2"/>
    </row>
    <row r="967" spans="1:11" ht="13.8" x14ac:dyDescent="0.3">
      <c r="A967" s="3"/>
      <c r="E967" s="2"/>
      <c r="F967" s="2"/>
      <c r="G967" s="2"/>
      <c r="H967" s="2"/>
      <c r="I967" s="2"/>
      <c r="J967" s="2"/>
      <c r="K967" s="2"/>
    </row>
    <row r="968" spans="1:11" ht="13.8" x14ac:dyDescent="0.3">
      <c r="A968" s="3"/>
      <c r="E968" s="2"/>
      <c r="F968" s="2"/>
      <c r="G968" s="2"/>
      <c r="H968" s="2"/>
      <c r="I968" s="2"/>
      <c r="J968" s="2"/>
      <c r="K968" s="2"/>
    </row>
    <row r="969" spans="1:11" ht="13.8" x14ac:dyDescent="0.3">
      <c r="A969" s="3"/>
      <c r="E969" s="2"/>
      <c r="F969" s="2"/>
      <c r="G969" s="2"/>
      <c r="H969" s="2"/>
      <c r="I969" s="2"/>
      <c r="J969" s="2"/>
      <c r="K969" s="2"/>
    </row>
    <row r="970" spans="1:11" ht="13.8" x14ac:dyDescent="0.3">
      <c r="A970" s="3"/>
      <c r="E970" s="2"/>
      <c r="F970" s="2"/>
      <c r="G970" s="2"/>
      <c r="H970" s="2"/>
      <c r="I970" s="2"/>
      <c r="J970" s="2"/>
      <c r="K970" s="2"/>
    </row>
    <row r="971" spans="1:11" ht="13.8" x14ac:dyDescent="0.3">
      <c r="A971" s="3"/>
      <c r="E971" s="2"/>
      <c r="F971" s="2"/>
      <c r="G971" s="2"/>
      <c r="H971" s="2"/>
      <c r="I971" s="2"/>
      <c r="J971" s="2"/>
      <c r="K971" s="2"/>
    </row>
    <row r="972" spans="1:11" ht="13.8" x14ac:dyDescent="0.3">
      <c r="A972" s="3"/>
      <c r="E972" s="2"/>
      <c r="F972" s="2"/>
      <c r="G972" s="2"/>
      <c r="H972" s="2"/>
      <c r="I972" s="2"/>
      <c r="J972" s="2"/>
      <c r="K972" s="2"/>
    </row>
    <row r="973" spans="1:11" ht="13.8" x14ac:dyDescent="0.3">
      <c r="A973" s="3"/>
      <c r="E973" s="2"/>
      <c r="F973" s="2"/>
      <c r="G973" s="2"/>
      <c r="H973" s="2"/>
      <c r="I973" s="2"/>
      <c r="J973" s="2"/>
      <c r="K973" s="2"/>
    </row>
    <row r="974" spans="1:11" ht="13.8" x14ac:dyDescent="0.3">
      <c r="A974" s="3"/>
      <c r="E974" s="2"/>
      <c r="F974" s="2"/>
      <c r="G974" s="2"/>
      <c r="H974" s="2"/>
      <c r="I974" s="2"/>
      <c r="J974" s="2"/>
      <c r="K974" s="2"/>
    </row>
    <row r="975" spans="1:11" ht="13.8" x14ac:dyDescent="0.3">
      <c r="A975" s="3"/>
      <c r="E975" s="2"/>
      <c r="F975" s="2"/>
      <c r="G975" s="2"/>
      <c r="H975" s="2"/>
      <c r="I975" s="2"/>
      <c r="J975" s="2"/>
      <c r="K975" s="2"/>
    </row>
    <row r="976" spans="1:11" ht="13.8" x14ac:dyDescent="0.3">
      <c r="A976" s="3"/>
      <c r="E976" s="2"/>
      <c r="F976" s="2"/>
      <c r="G976" s="2"/>
      <c r="H976" s="2"/>
      <c r="I976" s="2"/>
      <c r="J976" s="2"/>
      <c r="K976" s="2"/>
    </row>
    <row r="977" spans="1:11" ht="13.8" x14ac:dyDescent="0.3">
      <c r="A977" s="3"/>
      <c r="E977" s="2"/>
      <c r="F977" s="2"/>
      <c r="G977" s="2"/>
      <c r="H977" s="2"/>
      <c r="I977" s="2"/>
      <c r="J977" s="2"/>
      <c r="K977" s="2"/>
    </row>
    <row r="978" spans="1:11" ht="13.8" x14ac:dyDescent="0.3">
      <c r="A978" s="3"/>
      <c r="E978" s="2"/>
      <c r="F978" s="2"/>
      <c r="G978" s="2"/>
      <c r="H978" s="2"/>
      <c r="I978" s="2"/>
      <c r="J978" s="2"/>
      <c r="K978" s="2"/>
    </row>
    <row r="979" spans="1:11" ht="13.8" x14ac:dyDescent="0.3">
      <c r="A979" s="3"/>
      <c r="E979" s="2"/>
      <c r="F979" s="2"/>
      <c r="G979" s="2"/>
      <c r="H979" s="2"/>
      <c r="I979" s="2"/>
      <c r="J979" s="2"/>
      <c r="K979" s="2"/>
    </row>
    <row r="980" spans="1:11" ht="13.8" x14ac:dyDescent="0.3">
      <c r="A980" s="3"/>
      <c r="E980" s="2"/>
      <c r="F980" s="2"/>
      <c r="G980" s="2"/>
      <c r="H980" s="2"/>
      <c r="I980" s="2"/>
      <c r="J980" s="2"/>
      <c r="K980" s="2"/>
    </row>
    <row r="981" spans="1:11" ht="13.8" x14ac:dyDescent="0.3">
      <c r="A981" s="3"/>
      <c r="E981" s="2"/>
      <c r="F981" s="2"/>
      <c r="G981" s="2"/>
      <c r="H981" s="2"/>
      <c r="I981" s="2"/>
      <c r="J981" s="2"/>
      <c r="K981" s="2"/>
    </row>
    <row r="982" spans="1:11" ht="13.8" x14ac:dyDescent="0.3">
      <c r="A982" s="3"/>
      <c r="E982" s="2"/>
      <c r="F982" s="2"/>
      <c r="G982" s="2"/>
      <c r="H982" s="2"/>
      <c r="I982" s="2"/>
      <c r="J982" s="2"/>
      <c r="K982" s="2"/>
    </row>
    <row r="983" spans="1:11" ht="13.8" x14ac:dyDescent="0.3">
      <c r="A983" s="3"/>
      <c r="E983" s="2"/>
      <c r="F983" s="2"/>
      <c r="G983" s="2"/>
      <c r="H983" s="2"/>
      <c r="I983" s="2"/>
      <c r="J983" s="2"/>
      <c r="K983" s="2"/>
    </row>
    <row r="984" spans="1:11" ht="13.8" x14ac:dyDescent="0.3">
      <c r="A984" s="3"/>
      <c r="E984" s="2"/>
      <c r="F984" s="2"/>
      <c r="G984" s="2"/>
      <c r="H984" s="2"/>
      <c r="I984" s="2"/>
      <c r="J984" s="2"/>
      <c r="K984" s="2"/>
    </row>
    <row r="985" spans="1:11" ht="13.8" x14ac:dyDescent="0.3">
      <c r="A985" s="3"/>
      <c r="E985" s="2"/>
      <c r="F985" s="2"/>
      <c r="G985" s="2"/>
      <c r="H985" s="2"/>
      <c r="I985" s="2"/>
      <c r="J985" s="2"/>
      <c r="K985" s="2"/>
    </row>
    <row r="986" spans="1:11" ht="13.8" x14ac:dyDescent="0.3">
      <c r="A986" s="3"/>
      <c r="E986" s="2"/>
      <c r="F986" s="2"/>
      <c r="G986" s="2"/>
      <c r="H986" s="2"/>
      <c r="I986" s="2"/>
      <c r="J986" s="2"/>
      <c r="K986" s="2"/>
    </row>
    <row r="987" spans="1:11" ht="13.8" x14ac:dyDescent="0.3">
      <c r="A987" s="3"/>
      <c r="E987" s="2"/>
      <c r="F987" s="2"/>
      <c r="G987" s="2"/>
      <c r="H987" s="2"/>
      <c r="I987" s="2"/>
      <c r="J987" s="2"/>
      <c r="K987" s="2"/>
    </row>
    <row r="988" spans="1:11" ht="13.8" x14ac:dyDescent="0.3">
      <c r="A988" s="3"/>
      <c r="E988" s="2"/>
      <c r="F988" s="2"/>
      <c r="G988" s="2"/>
      <c r="H988" s="2"/>
      <c r="I988" s="2"/>
      <c r="J988" s="2"/>
      <c r="K988" s="2"/>
    </row>
    <row r="989" spans="1:11" ht="13.8" x14ac:dyDescent="0.3">
      <c r="A989" s="3"/>
      <c r="E989" s="2"/>
      <c r="F989" s="2"/>
      <c r="G989" s="2"/>
      <c r="H989" s="2"/>
      <c r="I989" s="2"/>
      <c r="J989" s="2"/>
      <c r="K989" s="2"/>
    </row>
    <row r="990" spans="1:11" ht="13.8" x14ac:dyDescent="0.3">
      <c r="A990" s="3"/>
      <c r="E990" s="2"/>
      <c r="F990" s="2"/>
      <c r="G990" s="2"/>
      <c r="H990" s="2"/>
      <c r="I990" s="2"/>
      <c r="J990" s="2"/>
      <c r="K990" s="2"/>
    </row>
    <row r="991" spans="1:11" ht="13.8" x14ac:dyDescent="0.3">
      <c r="A991" s="3"/>
      <c r="E991" s="2"/>
      <c r="F991" s="2"/>
      <c r="G991" s="2"/>
      <c r="H991" s="2"/>
      <c r="I991" s="2"/>
      <c r="J991" s="2"/>
      <c r="K991" s="2"/>
    </row>
    <row r="992" spans="1:11" ht="13.8" x14ac:dyDescent="0.3">
      <c r="A992" s="3"/>
      <c r="E992" s="2"/>
      <c r="F992" s="2"/>
      <c r="G992" s="2"/>
      <c r="H992" s="2"/>
      <c r="I992" s="2"/>
      <c r="J992" s="2"/>
      <c r="K992" s="2"/>
    </row>
    <row r="993" spans="1:11" ht="13.8" x14ac:dyDescent="0.3">
      <c r="A993" s="3"/>
      <c r="E993" s="2"/>
      <c r="F993" s="2"/>
      <c r="G993" s="2"/>
      <c r="H993" s="2"/>
      <c r="I993" s="2"/>
      <c r="J993" s="2"/>
      <c r="K993" s="2"/>
    </row>
    <row r="994" spans="1:11" ht="13.8" x14ac:dyDescent="0.3">
      <c r="A994" s="3"/>
      <c r="E994" s="2"/>
      <c r="F994" s="2"/>
      <c r="G994" s="2"/>
      <c r="H994" s="2"/>
      <c r="I994" s="2"/>
      <c r="J994" s="2"/>
      <c r="K994" s="2"/>
    </row>
    <row r="995" spans="1:11" ht="13.8" x14ac:dyDescent="0.3">
      <c r="A995" s="3"/>
      <c r="E995" s="2"/>
      <c r="F995" s="2"/>
      <c r="G995" s="2"/>
      <c r="H995" s="2"/>
      <c r="I995" s="2"/>
      <c r="J995" s="2"/>
      <c r="K995" s="2"/>
    </row>
    <row r="996" spans="1:11" ht="13.8" x14ac:dyDescent="0.3">
      <c r="A996" s="3"/>
      <c r="E996" s="2"/>
      <c r="F996" s="2"/>
      <c r="G996" s="2"/>
      <c r="H996" s="2"/>
      <c r="I996" s="2"/>
      <c r="J996" s="2"/>
      <c r="K996" s="2"/>
    </row>
    <row r="997" spans="1:11" ht="13.8" x14ac:dyDescent="0.3">
      <c r="A997" s="3"/>
      <c r="E997" s="2"/>
      <c r="F997" s="2"/>
      <c r="G997" s="2"/>
      <c r="H997" s="2"/>
      <c r="I997" s="2"/>
      <c r="J997" s="2"/>
      <c r="K997" s="2"/>
    </row>
    <row r="998" spans="1:11" ht="13.8" x14ac:dyDescent="0.3">
      <c r="A998" s="3"/>
      <c r="E998" s="2"/>
      <c r="F998" s="2"/>
      <c r="G998" s="2"/>
      <c r="H998" s="2"/>
      <c r="I998" s="2"/>
      <c r="J998" s="2"/>
      <c r="K998" s="2"/>
    </row>
    <row r="999" spans="1:11" ht="13.8" x14ac:dyDescent="0.3">
      <c r="A999" s="3"/>
      <c r="E999" s="2"/>
      <c r="F999" s="2"/>
      <c r="G999" s="2"/>
      <c r="H999" s="2"/>
      <c r="I999" s="2"/>
      <c r="J999" s="2"/>
      <c r="K999" s="2"/>
    </row>
    <row r="1000" spans="1:11" ht="13.8" x14ac:dyDescent="0.3">
      <c r="A1000" s="3"/>
      <c r="E1000" s="2"/>
      <c r="F1000" s="2"/>
      <c r="G1000" s="2"/>
      <c r="H1000" s="2"/>
      <c r="I1000" s="2"/>
      <c r="J1000" s="2"/>
      <c r="K1000"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F7209-6C20-4E93-BE7C-68BBC797D5E1}">
  <sheetPr>
    <outlinePr summaryBelow="0" summaryRight="0"/>
  </sheetPr>
  <dimension ref="A1:D1000"/>
  <sheetViews>
    <sheetView workbookViewId="0"/>
  </sheetViews>
  <sheetFormatPr defaultColWidth="12.6640625" defaultRowHeight="15.75" customHeight="1" x14ac:dyDescent="0.3"/>
  <cols>
    <col min="1" max="16384" width="12.6640625" style="1"/>
  </cols>
  <sheetData>
    <row r="1" spans="1:4" ht="15.75" customHeight="1" x14ac:dyDescent="0.3">
      <c r="A1" s="5" t="s">
        <v>213</v>
      </c>
      <c r="B1" s="4" t="s">
        <v>212</v>
      </c>
      <c r="C1" s="2" t="s">
        <v>211</v>
      </c>
      <c r="D1" s="4" t="s">
        <v>168</v>
      </c>
    </row>
    <row r="2" spans="1:4" ht="13.8" x14ac:dyDescent="0.3">
      <c r="A2" s="5" t="s">
        <v>186</v>
      </c>
      <c r="B2" s="4" t="s">
        <v>202</v>
      </c>
      <c r="C2" s="2">
        <v>6352</v>
      </c>
      <c r="D2" s="4" t="s">
        <v>210</v>
      </c>
    </row>
    <row r="3" spans="1:4" ht="13.8" x14ac:dyDescent="0.3">
      <c r="A3" s="5" t="s">
        <v>186</v>
      </c>
      <c r="B3" s="4" t="s">
        <v>199</v>
      </c>
      <c r="C3" s="2">
        <v>2115</v>
      </c>
      <c r="D3" s="4" t="s">
        <v>209</v>
      </c>
    </row>
    <row r="4" spans="1:4" ht="13.8" x14ac:dyDescent="0.3">
      <c r="A4" s="5" t="s">
        <v>186</v>
      </c>
      <c r="B4" s="4" t="s">
        <v>197</v>
      </c>
      <c r="C4" s="2">
        <v>1749</v>
      </c>
      <c r="D4" s="4" t="s">
        <v>208</v>
      </c>
    </row>
    <row r="5" spans="1:4" ht="13.8" x14ac:dyDescent="0.3">
      <c r="A5" s="5" t="s">
        <v>193</v>
      </c>
      <c r="B5" s="4" t="s">
        <v>202</v>
      </c>
      <c r="C5" s="2">
        <v>866</v>
      </c>
      <c r="D5" s="4" t="s">
        <v>207</v>
      </c>
    </row>
    <row r="6" spans="1:4" ht="13.8" x14ac:dyDescent="0.3">
      <c r="A6" s="5" t="s">
        <v>193</v>
      </c>
      <c r="B6" s="4" t="s">
        <v>197</v>
      </c>
      <c r="C6" s="2">
        <v>349</v>
      </c>
      <c r="D6" s="4" t="s">
        <v>206</v>
      </c>
    </row>
    <row r="7" spans="1:4" ht="13.8" x14ac:dyDescent="0.3">
      <c r="A7" s="5" t="s">
        <v>193</v>
      </c>
      <c r="B7" s="4" t="s">
        <v>199</v>
      </c>
      <c r="C7" s="2">
        <v>330</v>
      </c>
      <c r="D7" s="4" t="s">
        <v>205</v>
      </c>
    </row>
    <row r="8" spans="1:4" ht="13.8" x14ac:dyDescent="0.3">
      <c r="A8" s="5" t="s">
        <v>186</v>
      </c>
      <c r="B8" s="4" t="s">
        <v>188</v>
      </c>
      <c r="C8" s="2">
        <v>119</v>
      </c>
      <c r="D8" s="4" t="s">
        <v>204</v>
      </c>
    </row>
    <row r="9" spans="1:4" ht="13.8" x14ac:dyDescent="0.3">
      <c r="A9" s="5" t="s">
        <v>186</v>
      </c>
      <c r="B9" s="4" t="s">
        <v>184</v>
      </c>
      <c r="C9" s="2">
        <v>118</v>
      </c>
      <c r="D9" s="4" t="s">
        <v>203</v>
      </c>
    </row>
    <row r="10" spans="1:4" ht="13.8" x14ac:dyDescent="0.3">
      <c r="A10" s="5" t="s">
        <v>182</v>
      </c>
      <c r="B10" s="4" t="s">
        <v>202</v>
      </c>
      <c r="C10" s="2">
        <v>114</v>
      </c>
      <c r="D10" s="4" t="s">
        <v>201</v>
      </c>
    </row>
    <row r="11" spans="1:4" ht="13.8" x14ac:dyDescent="0.3">
      <c r="A11" s="5" t="s">
        <v>193</v>
      </c>
      <c r="B11" s="4" t="s">
        <v>190</v>
      </c>
      <c r="C11" s="2">
        <v>73</v>
      </c>
      <c r="D11" s="4" t="s">
        <v>200</v>
      </c>
    </row>
    <row r="12" spans="1:4" ht="13.8" x14ac:dyDescent="0.3">
      <c r="A12" s="5" t="s">
        <v>182</v>
      </c>
      <c r="B12" s="4" t="s">
        <v>199</v>
      </c>
      <c r="C12" s="2">
        <v>58</v>
      </c>
      <c r="D12" s="4" t="s">
        <v>198</v>
      </c>
    </row>
    <row r="13" spans="1:4" ht="13.8" x14ac:dyDescent="0.3">
      <c r="A13" s="5" t="s">
        <v>182</v>
      </c>
      <c r="B13" s="4" t="s">
        <v>197</v>
      </c>
      <c r="C13" s="2">
        <v>52</v>
      </c>
      <c r="D13" s="4" t="s">
        <v>196</v>
      </c>
    </row>
    <row r="14" spans="1:4" ht="13.8" x14ac:dyDescent="0.3">
      <c r="A14" s="5" t="s">
        <v>193</v>
      </c>
      <c r="B14" s="4" t="s">
        <v>188</v>
      </c>
      <c r="C14" s="2">
        <v>34</v>
      </c>
      <c r="D14" s="4" t="s">
        <v>195</v>
      </c>
    </row>
    <row r="15" spans="1:4" ht="13.8" x14ac:dyDescent="0.3">
      <c r="A15" s="5" t="s">
        <v>193</v>
      </c>
      <c r="B15" s="4" t="s">
        <v>181</v>
      </c>
      <c r="C15" s="2">
        <v>31</v>
      </c>
      <c r="D15" s="4" t="s">
        <v>194</v>
      </c>
    </row>
    <row r="16" spans="1:4" ht="13.8" x14ac:dyDescent="0.3">
      <c r="A16" s="5" t="s">
        <v>193</v>
      </c>
      <c r="B16" s="4" t="s">
        <v>184</v>
      </c>
      <c r="C16" s="2">
        <v>26</v>
      </c>
      <c r="D16" s="4" t="s">
        <v>192</v>
      </c>
    </row>
    <row r="17" spans="1:4" ht="13.8" x14ac:dyDescent="0.3">
      <c r="A17" s="5" t="s">
        <v>186</v>
      </c>
      <c r="B17" s="4" t="s">
        <v>190</v>
      </c>
      <c r="C17" s="2">
        <v>26</v>
      </c>
      <c r="D17" s="4" t="s">
        <v>191</v>
      </c>
    </row>
    <row r="18" spans="1:4" ht="13.8" x14ac:dyDescent="0.3">
      <c r="A18" s="5" t="s">
        <v>182</v>
      </c>
      <c r="B18" s="4" t="s">
        <v>190</v>
      </c>
      <c r="C18" s="2">
        <v>16</v>
      </c>
      <c r="D18" s="4" t="s">
        <v>189</v>
      </c>
    </row>
    <row r="19" spans="1:4" ht="13.8" x14ac:dyDescent="0.3">
      <c r="A19" s="5" t="s">
        <v>182</v>
      </c>
      <c r="B19" s="4" t="s">
        <v>188</v>
      </c>
      <c r="C19" s="2">
        <v>10</v>
      </c>
      <c r="D19" s="4" t="s">
        <v>187</v>
      </c>
    </row>
    <row r="20" spans="1:4" ht="13.8" x14ac:dyDescent="0.3">
      <c r="A20" s="5" t="s">
        <v>186</v>
      </c>
      <c r="B20" s="4" t="s">
        <v>181</v>
      </c>
      <c r="C20" s="2">
        <v>4</v>
      </c>
      <c r="D20" s="4" t="s">
        <v>185</v>
      </c>
    </row>
    <row r="21" spans="1:4" ht="13.8" x14ac:dyDescent="0.3">
      <c r="A21" s="5" t="s">
        <v>182</v>
      </c>
      <c r="B21" s="4" t="s">
        <v>184</v>
      </c>
      <c r="C21" s="2">
        <v>3</v>
      </c>
      <c r="D21" s="4" t="s">
        <v>183</v>
      </c>
    </row>
    <row r="22" spans="1:4" ht="13.8" x14ac:dyDescent="0.3">
      <c r="A22" s="5" t="s">
        <v>182</v>
      </c>
      <c r="B22" s="4" t="s">
        <v>181</v>
      </c>
      <c r="C22" s="2">
        <v>2</v>
      </c>
      <c r="D22" s="4" t="s">
        <v>180</v>
      </c>
    </row>
    <row r="23" spans="1:4" ht="13.8" x14ac:dyDescent="0.3">
      <c r="A23" s="5"/>
      <c r="C23" s="2"/>
    </row>
    <row r="24" spans="1:4" ht="13.8" x14ac:dyDescent="0.3">
      <c r="A24" s="5"/>
      <c r="C24" s="2"/>
    </row>
    <row r="25" spans="1:4" ht="13.8" x14ac:dyDescent="0.3">
      <c r="A25" s="5"/>
      <c r="C25" s="2"/>
    </row>
    <row r="26" spans="1:4" ht="13.8" x14ac:dyDescent="0.3">
      <c r="A26" s="5"/>
      <c r="C26" s="2"/>
    </row>
    <row r="27" spans="1:4" ht="13.8" x14ac:dyDescent="0.3">
      <c r="A27" s="5"/>
      <c r="C27" s="2"/>
    </row>
    <row r="28" spans="1:4" ht="13.8" x14ac:dyDescent="0.3">
      <c r="A28" s="5"/>
      <c r="C28" s="2"/>
    </row>
    <row r="29" spans="1:4" ht="13.8" x14ac:dyDescent="0.3">
      <c r="A29" s="5"/>
      <c r="C29" s="2"/>
    </row>
    <row r="30" spans="1:4" ht="13.8" x14ac:dyDescent="0.3">
      <c r="A30" s="5"/>
      <c r="C30" s="2"/>
    </row>
    <row r="31" spans="1:4" ht="13.8" x14ac:dyDescent="0.3">
      <c r="A31" s="5"/>
      <c r="C31" s="2"/>
    </row>
    <row r="32" spans="1:4" ht="13.8" x14ac:dyDescent="0.3">
      <c r="A32" s="5"/>
      <c r="C32" s="2"/>
    </row>
    <row r="33" spans="1:3" ht="13.8" x14ac:dyDescent="0.3">
      <c r="A33" s="5"/>
      <c r="C33" s="2"/>
    </row>
    <row r="34" spans="1:3" ht="13.8" x14ac:dyDescent="0.3">
      <c r="A34" s="5"/>
      <c r="C34" s="2"/>
    </row>
    <row r="35" spans="1:3" ht="13.8" x14ac:dyDescent="0.3">
      <c r="A35" s="5"/>
      <c r="C35" s="2"/>
    </row>
    <row r="36" spans="1:3" ht="13.8" x14ac:dyDescent="0.3">
      <c r="A36" s="5"/>
      <c r="C36" s="2"/>
    </row>
    <row r="37" spans="1:3" ht="13.8" x14ac:dyDescent="0.3">
      <c r="A37" s="5"/>
      <c r="C37" s="2"/>
    </row>
    <row r="38" spans="1:3" ht="13.8" x14ac:dyDescent="0.3">
      <c r="A38" s="5"/>
      <c r="C38" s="2"/>
    </row>
    <row r="39" spans="1:3" ht="13.8" x14ac:dyDescent="0.3">
      <c r="A39" s="5"/>
      <c r="C39" s="2"/>
    </row>
    <row r="40" spans="1:3" ht="13.8" x14ac:dyDescent="0.3">
      <c r="A40" s="5"/>
      <c r="C40" s="2"/>
    </row>
    <row r="41" spans="1:3" ht="13.8" x14ac:dyDescent="0.3">
      <c r="A41" s="5"/>
      <c r="C41" s="2"/>
    </row>
    <row r="42" spans="1:3" ht="13.8" x14ac:dyDescent="0.3">
      <c r="A42" s="5"/>
      <c r="C42" s="2"/>
    </row>
    <row r="43" spans="1:3" ht="13.8" x14ac:dyDescent="0.3">
      <c r="A43" s="5"/>
      <c r="C43" s="2"/>
    </row>
    <row r="44" spans="1:3" ht="13.8" x14ac:dyDescent="0.3">
      <c r="A44" s="5"/>
      <c r="C44" s="2"/>
    </row>
    <row r="45" spans="1:3" ht="13.8" x14ac:dyDescent="0.3">
      <c r="A45" s="5"/>
      <c r="C45" s="2"/>
    </row>
    <row r="46" spans="1:3" ht="13.8" x14ac:dyDescent="0.3">
      <c r="A46" s="5"/>
      <c r="C46" s="2"/>
    </row>
    <row r="47" spans="1:3" ht="13.8" x14ac:dyDescent="0.3">
      <c r="A47" s="5"/>
      <c r="C47" s="2"/>
    </row>
    <row r="48" spans="1:3" ht="13.8" x14ac:dyDescent="0.3">
      <c r="A48" s="5"/>
      <c r="C48" s="2"/>
    </row>
    <row r="49" spans="1:3" ht="13.8" x14ac:dyDescent="0.3">
      <c r="A49" s="5"/>
      <c r="C49" s="2"/>
    </row>
    <row r="50" spans="1:3" ht="13.8" x14ac:dyDescent="0.3">
      <c r="A50" s="5"/>
      <c r="C50" s="2"/>
    </row>
    <row r="51" spans="1:3" ht="13.8" x14ac:dyDescent="0.3">
      <c r="A51" s="5"/>
      <c r="C51" s="2"/>
    </row>
    <row r="52" spans="1:3" ht="13.8" x14ac:dyDescent="0.3">
      <c r="A52" s="5"/>
      <c r="C52" s="2"/>
    </row>
    <row r="53" spans="1:3" ht="13.8" x14ac:dyDescent="0.3">
      <c r="A53" s="5"/>
      <c r="C53" s="2"/>
    </row>
    <row r="54" spans="1:3" ht="13.8" x14ac:dyDescent="0.3">
      <c r="A54" s="5"/>
      <c r="C54" s="2"/>
    </row>
    <row r="55" spans="1:3" ht="13.8" x14ac:dyDescent="0.3">
      <c r="A55" s="5"/>
      <c r="C55" s="2"/>
    </row>
    <row r="56" spans="1:3" ht="13.8" x14ac:dyDescent="0.3">
      <c r="A56" s="5"/>
      <c r="C56" s="2"/>
    </row>
    <row r="57" spans="1:3" ht="13.8" x14ac:dyDescent="0.3">
      <c r="A57" s="5"/>
      <c r="C57" s="2"/>
    </row>
    <row r="58" spans="1:3" ht="13.8" x14ac:dyDescent="0.3">
      <c r="A58" s="5"/>
      <c r="C58" s="2"/>
    </row>
    <row r="59" spans="1:3" ht="13.8" x14ac:dyDescent="0.3">
      <c r="A59" s="5"/>
      <c r="C59" s="2"/>
    </row>
    <row r="60" spans="1:3" ht="13.8" x14ac:dyDescent="0.3">
      <c r="A60" s="5"/>
      <c r="C60" s="2"/>
    </row>
    <row r="61" spans="1:3" ht="13.8" x14ac:dyDescent="0.3">
      <c r="A61" s="5"/>
      <c r="C61" s="2"/>
    </row>
    <row r="62" spans="1:3" ht="13.8" x14ac:dyDescent="0.3">
      <c r="A62" s="5"/>
      <c r="C62" s="2"/>
    </row>
    <row r="63" spans="1:3" ht="13.8" x14ac:dyDescent="0.3">
      <c r="A63" s="5"/>
      <c r="C63" s="2"/>
    </row>
    <row r="64" spans="1:3" ht="13.8" x14ac:dyDescent="0.3">
      <c r="A64" s="5"/>
      <c r="C64" s="2"/>
    </row>
    <row r="65" spans="1:3" ht="13.8" x14ac:dyDescent="0.3">
      <c r="A65" s="5"/>
      <c r="C65" s="2"/>
    </row>
    <row r="66" spans="1:3" ht="13.8" x14ac:dyDescent="0.3">
      <c r="A66" s="5"/>
      <c r="C66" s="2"/>
    </row>
    <row r="67" spans="1:3" ht="13.8" x14ac:dyDescent="0.3">
      <c r="A67" s="5"/>
      <c r="C67" s="2"/>
    </row>
    <row r="68" spans="1:3" ht="13.8" x14ac:dyDescent="0.3">
      <c r="A68" s="5"/>
      <c r="C68" s="2"/>
    </row>
    <row r="69" spans="1:3" ht="13.8" x14ac:dyDescent="0.3">
      <c r="A69" s="5"/>
      <c r="C69" s="2"/>
    </row>
    <row r="70" spans="1:3" ht="13.8" x14ac:dyDescent="0.3">
      <c r="A70" s="5"/>
      <c r="C70" s="2"/>
    </row>
    <row r="71" spans="1:3" ht="13.8" x14ac:dyDescent="0.3">
      <c r="A71" s="5"/>
      <c r="C71" s="2"/>
    </row>
    <row r="72" spans="1:3" ht="13.8" x14ac:dyDescent="0.3">
      <c r="A72" s="5"/>
      <c r="C72" s="2"/>
    </row>
    <row r="73" spans="1:3" ht="13.8" x14ac:dyDescent="0.3">
      <c r="A73" s="5"/>
      <c r="C73" s="2"/>
    </row>
    <row r="74" spans="1:3" ht="13.8" x14ac:dyDescent="0.3">
      <c r="A74" s="5"/>
      <c r="C74" s="2"/>
    </row>
    <row r="75" spans="1:3" ht="13.8" x14ac:dyDescent="0.3">
      <c r="A75" s="5"/>
      <c r="C75" s="2"/>
    </row>
    <row r="76" spans="1:3" ht="13.8" x14ac:dyDescent="0.3">
      <c r="A76" s="5"/>
      <c r="C76" s="2"/>
    </row>
    <row r="77" spans="1:3" ht="13.8" x14ac:dyDescent="0.3">
      <c r="A77" s="5"/>
      <c r="C77" s="2"/>
    </row>
    <row r="78" spans="1:3" ht="13.8" x14ac:dyDescent="0.3">
      <c r="A78" s="5"/>
      <c r="C78" s="2"/>
    </row>
    <row r="79" spans="1:3" ht="13.8" x14ac:dyDescent="0.3">
      <c r="A79" s="5"/>
      <c r="C79" s="2"/>
    </row>
    <row r="80" spans="1:3" ht="13.8" x14ac:dyDescent="0.3">
      <c r="A80" s="5"/>
      <c r="C80" s="2"/>
    </row>
    <row r="81" spans="1:3" ht="13.8" x14ac:dyDescent="0.3">
      <c r="A81" s="5"/>
      <c r="C81" s="2"/>
    </row>
    <row r="82" spans="1:3" ht="13.8" x14ac:dyDescent="0.3">
      <c r="A82" s="5"/>
      <c r="C82" s="2"/>
    </row>
    <row r="83" spans="1:3" ht="13.8" x14ac:dyDescent="0.3">
      <c r="A83" s="5"/>
      <c r="C83" s="2"/>
    </row>
    <row r="84" spans="1:3" ht="13.8" x14ac:dyDescent="0.3">
      <c r="A84" s="5"/>
      <c r="C84" s="2"/>
    </row>
    <row r="85" spans="1:3" ht="13.8" x14ac:dyDescent="0.3">
      <c r="A85" s="5"/>
      <c r="C85" s="2"/>
    </row>
    <row r="86" spans="1:3" ht="13.8" x14ac:dyDescent="0.3">
      <c r="A86" s="5"/>
      <c r="C86" s="2"/>
    </row>
    <row r="87" spans="1:3" ht="13.8" x14ac:dyDescent="0.3">
      <c r="A87" s="5"/>
      <c r="C87" s="2"/>
    </row>
    <row r="88" spans="1:3" ht="13.8" x14ac:dyDescent="0.3">
      <c r="A88" s="5"/>
      <c r="C88" s="2"/>
    </row>
    <row r="89" spans="1:3" ht="13.8" x14ac:dyDescent="0.3">
      <c r="A89" s="5"/>
      <c r="C89" s="2"/>
    </row>
    <row r="90" spans="1:3" ht="13.8" x14ac:dyDescent="0.3">
      <c r="A90" s="5"/>
      <c r="C90" s="2"/>
    </row>
    <row r="91" spans="1:3" ht="13.8" x14ac:dyDescent="0.3">
      <c r="A91" s="5"/>
      <c r="C91" s="2"/>
    </row>
    <row r="92" spans="1:3" ht="13.8" x14ac:dyDescent="0.3">
      <c r="A92" s="5"/>
      <c r="C92" s="2"/>
    </row>
    <row r="93" spans="1:3" ht="13.8" x14ac:dyDescent="0.3">
      <c r="A93" s="5"/>
      <c r="C93" s="2"/>
    </row>
    <row r="94" spans="1:3" ht="13.8" x14ac:dyDescent="0.3">
      <c r="A94" s="5"/>
      <c r="C94" s="2"/>
    </row>
    <row r="95" spans="1:3" ht="13.8" x14ac:dyDescent="0.3">
      <c r="A95" s="5"/>
      <c r="C95" s="2"/>
    </row>
    <row r="96" spans="1:3" ht="13.8" x14ac:dyDescent="0.3">
      <c r="A96" s="5"/>
      <c r="C96" s="2"/>
    </row>
    <row r="97" spans="1:3" ht="13.8" x14ac:dyDescent="0.3">
      <c r="A97" s="5"/>
      <c r="C97" s="2"/>
    </row>
    <row r="98" spans="1:3" ht="13.8" x14ac:dyDescent="0.3">
      <c r="A98" s="5"/>
      <c r="C98" s="2"/>
    </row>
    <row r="99" spans="1:3" ht="13.8" x14ac:dyDescent="0.3">
      <c r="A99" s="5"/>
      <c r="C99" s="2"/>
    </row>
    <row r="100" spans="1:3" ht="13.8" x14ac:dyDescent="0.3">
      <c r="A100" s="5"/>
      <c r="C100" s="2"/>
    </row>
    <row r="101" spans="1:3" ht="13.8" x14ac:dyDescent="0.3">
      <c r="A101" s="5"/>
      <c r="C101" s="2"/>
    </row>
    <row r="102" spans="1:3" ht="13.8" x14ac:dyDescent="0.3">
      <c r="A102" s="5"/>
      <c r="C102" s="2"/>
    </row>
    <row r="103" spans="1:3" ht="13.8" x14ac:dyDescent="0.3">
      <c r="A103" s="5"/>
      <c r="C103" s="2"/>
    </row>
    <row r="104" spans="1:3" ht="13.8" x14ac:dyDescent="0.3">
      <c r="A104" s="5"/>
      <c r="C104" s="2"/>
    </row>
    <row r="105" spans="1:3" ht="13.8" x14ac:dyDescent="0.3">
      <c r="A105" s="5"/>
      <c r="C105" s="2"/>
    </row>
    <row r="106" spans="1:3" ht="13.8" x14ac:dyDescent="0.3">
      <c r="A106" s="5"/>
      <c r="C106" s="2"/>
    </row>
    <row r="107" spans="1:3" ht="13.8" x14ac:dyDescent="0.3">
      <c r="A107" s="5"/>
      <c r="C107" s="2"/>
    </row>
    <row r="108" spans="1:3" ht="13.8" x14ac:dyDescent="0.3">
      <c r="A108" s="5"/>
      <c r="C108" s="2"/>
    </row>
    <row r="109" spans="1:3" ht="13.8" x14ac:dyDescent="0.3">
      <c r="A109" s="5"/>
      <c r="C109" s="2"/>
    </row>
    <row r="110" spans="1:3" ht="13.8" x14ac:dyDescent="0.3">
      <c r="A110" s="5"/>
      <c r="C110" s="2"/>
    </row>
    <row r="111" spans="1:3" ht="13.8" x14ac:dyDescent="0.3">
      <c r="A111" s="5"/>
      <c r="C111" s="2"/>
    </row>
    <row r="112" spans="1:3" ht="13.8" x14ac:dyDescent="0.3">
      <c r="A112" s="5"/>
      <c r="C112" s="2"/>
    </row>
    <row r="113" spans="1:3" ht="13.8" x14ac:dyDescent="0.3">
      <c r="A113" s="5"/>
      <c r="C113" s="2"/>
    </row>
    <row r="114" spans="1:3" ht="13.8" x14ac:dyDescent="0.3">
      <c r="A114" s="5"/>
      <c r="C114" s="2"/>
    </row>
    <row r="115" spans="1:3" ht="13.8" x14ac:dyDescent="0.3">
      <c r="A115" s="5"/>
      <c r="C115" s="2"/>
    </row>
    <row r="116" spans="1:3" ht="13.8" x14ac:dyDescent="0.3">
      <c r="A116" s="5"/>
      <c r="C116" s="2"/>
    </row>
    <row r="117" spans="1:3" ht="13.8" x14ac:dyDescent="0.3">
      <c r="A117" s="5"/>
      <c r="C117" s="2"/>
    </row>
    <row r="118" spans="1:3" ht="13.8" x14ac:dyDescent="0.3">
      <c r="A118" s="5"/>
      <c r="C118" s="2"/>
    </row>
    <row r="119" spans="1:3" ht="13.8" x14ac:dyDescent="0.3">
      <c r="A119" s="5"/>
      <c r="C119" s="2"/>
    </row>
    <row r="120" spans="1:3" ht="13.8" x14ac:dyDescent="0.3">
      <c r="A120" s="5"/>
      <c r="C120" s="2"/>
    </row>
    <row r="121" spans="1:3" ht="13.8" x14ac:dyDescent="0.3">
      <c r="A121" s="5"/>
      <c r="C121" s="2"/>
    </row>
    <row r="122" spans="1:3" ht="13.8" x14ac:dyDescent="0.3">
      <c r="A122" s="5"/>
      <c r="C122" s="2"/>
    </row>
    <row r="123" spans="1:3" ht="13.8" x14ac:dyDescent="0.3">
      <c r="A123" s="5"/>
      <c r="C123" s="2"/>
    </row>
    <row r="124" spans="1:3" ht="13.8" x14ac:dyDescent="0.3">
      <c r="A124" s="5"/>
      <c r="C124" s="2"/>
    </row>
    <row r="125" spans="1:3" ht="13.8" x14ac:dyDescent="0.3">
      <c r="A125" s="5"/>
      <c r="C125" s="2"/>
    </row>
    <row r="126" spans="1:3" ht="13.8" x14ac:dyDescent="0.3">
      <c r="A126" s="5"/>
      <c r="C126" s="2"/>
    </row>
    <row r="127" spans="1:3" ht="13.8" x14ac:dyDescent="0.3">
      <c r="A127" s="5"/>
      <c r="C127" s="2"/>
    </row>
    <row r="128" spans="1:3" ht="13.8" x14ac:dyDescent="0.3">
      <c r="A128" s="5"/>
      <c r="C128" s="2"/>
    </row>
    <row r="129" spans="1:3" ht="13.8" x14ac:dyDescent="0.3">
      <c r="A129" s="5"/>
      <c r="C129" s="2"/>
    </row>
    <row r="130" spans="1:3" ht="13.8" x14ac:dyDescent="0.3">
      <c r="A130" s="5"/>
      <c r="C130" s="2"/>
    </row>
    <row r="131" spans="1:3" ht="13.8" x14ac:dyDescent="0.3">
      <c r="A131" s="5"/>
      <c r="C131" s="2"/>
    </row>
    <row r="132" spans="1:3" ht="13.8" x14ac:dyDescent="0.3">
      <c r="A132" s="5"/>
      <c r="C132" s="2"/>
    </row>
    <row r="133" spans="1:3" ht="13.8" x14ac:dyDescent="0.3">
      <c r="A133" s="5"/>
      <c r="C133" s="2"/>
    </row>
    <row r="134" spans="1:3" ht="13.8" x14ac:dyDescent="0.3">
      <c r="A134" s="5"/>
      <c r="C134" s="2"/>
    </row>
    <row r="135" spans="1:3" ht="13.8" x14ac:dyDescent="0.3">
      <c r="A135" s="5"/>
      <c r="C135" s="2"/>
    </row>
    <row r="136" spans="1:3" ht="13.8" x14ac:dyDescent="0.3">
      <c r="A136" s="5"/>
      <c r="C136" s="2"/>
    </row>
    <row r="137" spans="1:3" ht="13.8" x14ac:dyDescent="0.3">
      <c r="A137" s="5"/>
      <c r="C137" s="2"/>
    </row>
    <row r="138" spans="1:3" ht="13.8" x14ac:dyDescent="0.3">
      <c r="A138" s="5"/>
      <c r="C138" s="2"/>
    </row>
    <row r="139" spans="1:3" ht="13.8" x14ac:dyDescent="0.3">
      <c r="A139" s="5"/>
      <c r="C139" s="2"/>
    </row>
    <row r="140" spans="1:3" ht="13.8" x14ac:dyDescent="0.3">
      <c r="A140" s="5"/>
      <c r="C140" s="2"/>
    </row>
    <row r="141" spans="1:3" ht="13.8" x14ac:dyDescent="0.3">
      <c r="A141" s="5"/>
      <c r="C141" s="2"/>
    </row>
    <row r="142" spans="1:3" ht="13.8" x14ac:dyDescent="0.3">
      <c r="A142" s="5"/>
      <c r="C142" s="2"/>
    </row>
    <row r="143" spans="1:3" ht="13.8" x14ac:dyDescent="0.3">
      <c r="A143" s="5"/>
      <c r="C143" s="2"/>
    </row>
    <row r="144" spans="1:3" ht="13.8" x14ac:dyDescent="0.3">
      <c r="A144" s="5"/>
      <c r="C144" s="2"/>
    </row>
    <row r="145" spans="1:3" ht="13.8" x14ac:dyDescent="0.3">
      <c r="A145" s="5"/>
      <c r="C145" s="2"/>
    </row>
    <row r="146" spans="1:3" ht="13.8" x14ac:dyDescent="0.3">
      <c r="A146" s="5"/>
      <c r="C146" s="2"/>
    </row>
    <row r="147" spans="1:3" ht="13.8" x14ac:dyDescent="0.3">
      <c r="A147" s="5"/>
      <c r="C147" s="2"/>
    </row>
    <row r="148" spans="1:3" ht="13.8" x14ac:dyDescent="0.3">
      <c r="A148" s="5"/>
      <c r="C148" s="2"/>
    </row>
    <row r="149" spans="1:3" ht="13.8" x14ac:dyDescent="0.3">
      <c r="A149" s="5"/>
      <c r="C149" s="2"/>
    </row>
    <row r="150" spans="1:3" ht="13.8" x14ac:dyDescent="0.3">
      <c r="A150" s="5"/>
      <c r="C150" s="2"/>
    </row>
    <row r="151" spans="1:3" ht="13.8" x14ac:dyDescent="0.3">
      <c r="A151" s="5"/>
      <c r="C151" s="2"/>
    </row>
    <row r="152" spans="1:3" ht="13.8" x14ac:dyDescent="0.3">
      <c r="A152" s="5"/>
      <c r="C152" s="2"/>
    </row>
    <row r="153" spans="1:3" ht="13.8" x14ac:dyDescent="0.3">
      <c r="A153" s="5"/>
      <c r="C153" s="2"/>
    </row>
    <row r="154" spans="1:3" ht="13.8" x14ac:dyDescent="0.3">
      <c r="A154" s="5"/>
      <c r="C154" s="2"/>
    </row>
    <row r="155" spans="1:3" ht="13.8" x14ac:dyDescent="0.3">
      <c r="A155" s="5"/>
      <c r="C155" s="2"/>
    </row>
    <row r="156" spans="1:3" ht="13.8" x14ac:dyDescent="0.3">
      <c r="A156" s="5"/>
      <c r="C156" s="2"/>
    </row>
    <row r="157" spans="1:3" ht="13.8" x14ac:dyDescent="0.3">
      <c r="A157" s="5"/>
      <c r="C157" s="2"/>
    </row>
    <row r="158" spans="1:3" ht="13.8" x14ac:dyDescent="0.3">
      <c r="A158" s="5"/>
      <c r="C158" s="2"/>
    </row>
    <row r="159" spans="1:3" ht="13.8" x14ac:dyDescent="0.3">
      <c r="A159" s="5"/>
      <c r="C159" s="2"/>
    </row>
    <row r="160" spans="1:3" ht="13.8" x14ac:dyDescent="0.3">
      <c r="A160" s="5"/>
      <c r="C160" s="2"/>
    </row>
    <row r="161" spans="1:3" ht="13.8" x14ac:dyDescent="0.3">
      <c r="A161" s="5"/>
      <c r="C161" s="2"/>
    </row>
    <row r="162" spans="1:3" ht="13.8" x14ac:dyDescent="0.3">
      <c r="A162" s="5"/>
      <c r="C162" s="2"/>
    </row>
    <row r="163" spans="1:3" ht="13.8" x14ac:dyDescent="0.3">
      <c r="A163" s="5"/>
      <c r="C163" s="2"/>
    </row>
    <row r="164" spans="1:3" ht="13.8" x14ac:dyDescent="0.3">
      <c r="A164" s="5"/>
      <c r="C164" s="2"/>
    </row>
    <row r="165" spans="1:3" ht="13.8" x14ac:dyDescent="0.3">
      <c r="A165" s="5"/>
      <c r="C165" s="2"/>
    </row>
    <row r="166" spans="1:3" ht="13.8" x14ac:dyDescent="0.3">
      <c r="A166" s="5"/>
      <c r="C166" s="2"/>
    </row>
    <row r="167" spans="1:3" ht="13.8" x14ac:dyDescent="0.3">
      <c r="A167" s="5"/>
      <c r="C167" s="2"/>
    </row>
    <row r="168" spans="1:3" ht="13.8" x14ac:dyDescent="0.3">
      <c r="A168" s="5"/>
      <c r="C168" s="2"/>
    </row>
    <row r="169" spans="1:3" ht="13.8" x14ac:dyDescent="0.3">
      <c r="A169" s="5"/>
      <c r="C169" s="2"/>
    </row>
    <row r="170" spans="1:3" ht="13.8" x14ac:dyDescent="0.3">
      <c r="A170" s="5"/>
      <c r="C170" s="2"/>
    </row>
    <row r="171" spans="1:3" ht="13.8" x14ac:dyDescent="0.3">
      <c r="A171" s="5"/>
      <c r="C171" s="2"/>
    </row>
    <row r="172" spans="1:3" ht="13.8" x14ac:dyDescent="0.3">
      <c r="A172" s="5"/>
      <c r="C172" s="2"/>
    </row>
    <row r="173" spans="1:3" ht="13.8" x14ac:dyDescent="0.3">
      <c r="A173" s="5"/>
      <c r="C173" s="2"/>
    </row>
    <row r="174" spans="1:3" ht="13.8" x14ac:dyDescent="0.3">
      <c r="A174" s="5"/>
      <c r="C174" s="2"/>
    </row>
    <row r="175" spans="1:3" ht="13.8" x14ac:dyDescent="0.3">
      <c r="A175" s="5"/>
      <c r="C175" s="2"/>
    </row>
    <row r="176" spans="1:3" ht="13.8" x14ac:dyDescent="0.3">
      <c r="A176" s="5"/>
      <c r="C176" s="2"/>
    </row>
    <row r="177" spans="1:3" ht="13.8" x14ac:dyDescent="0.3">
      <c r="A177" s="5"/>
      <c r="C177" s="2"/>
    </row>
    <row r="178" spans="1:3" ht="13.8" x14ac:dyDescent="0.3">
      <c r="A178" s="5"/>
      <c r="C178" s="2"/>
    </row>
    <row r="179" spans="1:3" ht="13.8" x14ac:dyDescent="0.3">
      <c r="A179" s="5"/>
      <c r="C179" s="2"/>
    </row>
    <row r="180" spans="1:3" ht="13.8" x14ac:dyDescent="0.3">
      <c r="A180" s="5"/>
      <c r="C180" s="2"/>
    </row>
    <row r="181" spans="1:3" ht="13.8" x14ac:dyDescent="0.3">
      <c r="A181" s="5"/>
      <c r="C181" s="2"/>
    </row>
    <row r="182" spans="1:3" ht="13.8" x14ac:dyDescent="0.3">
      <c r="A182" s="5"/>
      <c r="C182" s="2"/>
    </row>
    <row r="183" spans="1:3" ht="13.8" x14ac:dyDescent="0.3">
      <c r="A183" s="5"/>
      <c r="C183" s="2"/>
    </row>
    <row r="184" spans="1:3" ht="13.8" x14ac:dyDescent="0.3">
      <c r="A184" s="5"/>
      <c r="C184" s="2"/>
    </row>
    <row r="185" spans="1:3" ht="13.8" x14ac:dyDescent="0.3">
      <c r="A185" s="5"/>
      <c r="C185" s="2"/>
    </row>
    <row r="186" spans="1:3" ht="13.8" x14ac:dyDescent="0.3">
      <c r="A186" s="5"/>
      <c r="C186" s="2"/>
    </row>
    <row r="187" spans="1:3" ht="13.8" x14ac:dyDescent="0.3">
      <c r="A187" s="5"/>
      <c r="C187" s="2"/>
    </row>
    <row r="188" spans="1:3" ht="13.8" x14ac:dyDescent="0.3">
      <c r="A188" s="5"/>
      <c r="C188" s="2"/>
    </row>
    <row r="189" spans="1:3" ht="13.8" x14ac:dyDescent="0.3">
      <c r="A189" s="5"/>
      <c r="C189" s="2"/>
    </row>
    <row r="190" spans="1:3" ht="13.8" x14ac:dyDescent="0.3">
      <c r="A190" s="5"/>
      <c r="C190" s="2"/>
    </row>
    <row r="191" spans="1:3" ht="13.8" x14ac:dyDescent="0.3">
      <c r="A191" s="5"/>
      <c r="C191" s="2"/>
    </row>
    <row r="192" spans="1:3" ht="13.8" x14ac:dyDescent="0.3">
      <c r="A192" s="5"/>
      <c r="C192" s="2"/>
    </row>
    <row r="193" spans="1:3" ht="13.8" x14ac:dyDescent="0.3">
      <c r="A193" s="5"/>
      <c r="C193" s="2"/>
    </row>
    <row r="194" spans="1:3" ht="13.8" x14ac:dyDescent="0.3">
      <c r="A194" s="5"/>
      <c r="C194" s="2"/>
    </row>
    <row r="195" spans="1:3" ht="13.8" x14ac:dyDescent="0.3">
      <c r="A195" s="5"/>
      <c r="C195" s="2"/>
    </row>
    <row r="196" spans="1:3" ht="13.8" x14ac:dyDescent="0.3">
      <c r="A196" s="5"/>
      <c r="C196" s="2"/>
    </row>
    <row r="197" spans="1:3" ht="13.8" x14ac:dyDescent="0.3">
      <c r="A197" s="5"/>
      <c r="C197" s="2"/>
    </row>
    <row r="198" spans="1:3" ht="13.8" x14ac:dyDescent="0.3">
      <c r="A198" s="5"/>
      <c r="C198" s="2"/>
    </row>
    <row r="199" spans="1:3" ht="13.8" x14ac:dyDescent="0.3">
      <c r="A199" s="5"/>
      <c r="C199" s="2"/>
    </row>
    <row r="200" spans="1:3" ht="13.8" x14ac:dyDescent="0.3">
      <c r="A200" s="5"/>
      <c r="C200" s="2"/>
    </row>
    <row r="201" spans="1:3" ht="13.8" x14ac:dyDescent="0.3">
      <c r="A201" s="5"/>
      <c r="C201" s="2"/>
    </row>
    <row r="202" spans="1:3" ht="13.8" x14ac:dyDescent="0.3">
      <c r="A202" s="5"/>
      <c r="C202" s="2"/>
    </row>
    <row r="203" spans="1:3" ht="13.8" x14ac:dyDescent="0.3">
      <c r="A203" s="5"/>
      <c r="C203" s="2"/>
    </row>
    <row r="204" spans="1:3" ht="13.8" x14ac:dyDescent="0.3">
      <c r="A204" s="5"/>
      <c r="C204" s="2"/>
    </row>
    <row r="205" spans="1:3" ht="13.8" x14ac:dyDescent="0.3">
      <c r="A205" s="5"/>
      <c r="C205" s="2"/>
    </row>
    <row r="206" spans="1:3" ht="13.8" x14ac:dyDescent="0.3">
      <c r="A206" s="5"/>
      <c r="C206" s="2"/>
    </row>
    <row r="207" spans="1:3" ht="13.8" x14ac:dyDescent="0.3">
      <c r="A207" s="5"/>
      <c r="C207" s="2"/>
    </row>
    <row r="208" spans="1:3" ht="13.8" x14ac:dyDescent="0.3">
      <c r="A208" s="5"/>
      <c r="C208" s="2"/>
    </row>
    <row r="209" spans="1:3" ht="13.8" x14ac:dyDescent="0.3">
      <c r="A209" s="5"/>
      <c r="C209" s="2"/>
    </row>
    <row r="210" spans="1:3" ht="13.8" x14ac:dyDescent="0.3">
      <c r="A210" s="5"/>
      <c r="C210" s="2"/>
    </row>
    <row r="211" spans="1:3" ht="13.8" x14ac:dyDescent="0.3">
      <c r="A211" s="5"/>
      <c r="C211" s="2"/>
    </row>
    <row r="212" spans="1:3" ht="13.8" x14ac:dyDescent="0.3">
      <c r="A212" s="5"/>
      <c r="C212" s="2"/>
    </row>
    <row r="213" spans="1:3" ht="13.8" x14ac:dyDescent="0.3">
      <c r="A213" s="5"/>
      <c r="C213" s="2"/>
    </row>
    <row r="214" spans="1:3" ht="13.8" x14ac:dyDescent="0.3">
      <c r="A214" s="5"/>
      <c r="C214" s="2"/>
    </row>
    <row r="215" spans="1:3" ht="13.8" x14ac:dyDescent="0.3">
      <c r="A215" s="5"/>
      <c r="C215" s="2"/>
    </row>
    <row r="216" spans="1:3" ht="13.8" x14ac:dyDescent="0.3">
      <c r="A216" s="5"/>
      <c r="C216" s="2"/>
    </row>
    <row r="217" spans="1:3" ht="13.8" x14ac:dyDescent="0.3">
      <c r="A217" s="5"/>
      <c r="C217" s="2"/>
    </row>
    <row r="218" spans="1:3" ht="13.8" x14ac:dyDescent="0.3">
      <c r="A218" s="5"/>
      <c r="C218" s="2"/>
    </row>
    <row r="219" spans="1:3" ht="13.8" x14ac:dyDescent="0.3">
      <c r="A219" s="5"/>
      <c r="C219" s="2"/>
    </row>
    <row r="220" spans="1:3" ht="13.8" x14ac:dyDescent="0.3">
      <c r="A220" s="5"/>
      <c r="C220" s="2"/>
    </row>
    <row r="221" spans="1:3" ht="13.8" x14ac:dyDescent="0.3">
      <c r="A221" s="5"/>
      <c r="C221" s="2"/>
    </row>
    <row r="222" spans="1:3" ht="13.8" x14ac:dyDescent="0.3">
      <c r="A222" s="5"/>
      <c r="C222" s="2"/>
    </row>
    <row r="223" spans="1:3" ht="13.8" x14ac:dyDescent="0.3">
      <c r="A223" s="5"/>
      <c r="C223" s="2"/>
    </row>
    <row r="224" spans="1:3" ht="13.8" x14ac:dyDescent="0.3">
      <c r="A224" s="5"/>
      <c r="C224" s="2"/>
    </row>
    <row r="225" spans="1:3" ht="13.8" x14ac:dyDescent="0.3">
      <c r="A225" s="5"/>
      <c r="C225" s="2"/>
    </row>
    <row r="226" spans="1:3" ht="13.8" x14ac:dyDescent="0.3">
      <c r="A226" s="5"/>
      <c r="C226" s="2"/>
    </row>
    <row r="227" spans="1:3" ht="13.8" x14ac:dyDescent="0.3">
      <c r="A227" s="5"/>
      <c r="C227" s="2"/>
    </row>
    <row r="228" spans="1:3" ht="13.8" x14ac:dyDescent="0.3">
      <c r="A228" s="5"/>
      <c r="C228" s="2"/>
    </row>
    <row r="229" spans="1:3" ht="13.8" x14ac:dyDescent="0.3">
      <c r="A229" s="5"/>
      <c r="C229" s="2"/>
    </row>
    <row r="230" spans="1:3" ht="13.8" x14ac:dyDescent="0.3">
      <c r="A230" s="5"/>
      <c r="C230" s="2"/>
    </row>
    <row r="231" spans="1:3" ht="13.8" x14ac:dyDescent="0.3">
      <c r="A231" s="5"/>
      <c r="C231" s="2"/>
    </row>
    <row r="232" spans="1:3" ht="13.8" x14ac:dyDescent="0.3">
      <c r="A232" s="5"/>
      <c r="C232" s="2"/>
    </row>
    <row r="233" spans="1:3" ht="13.8" x14ac:dyDescent="0.3">
      <c r="A233" s="5"/>
      <c r="C233" s="2"/>
    </row>
    <row r="234" spans="1:3" ht="13.8" x14ac:dyDescent="0.3">
      <c r="A234" s="5"/>
      <c r="C234" s="2"/>
    </row>
    <row r="235" spans="1:3" ht="13.8" x14ac:dyDescent="0.3">
      <c r="A235" s="5"/>
      <c r="C235" s="2"/>
    </row>
    <row r="236" spans="1:3" ht="13.8" x14ac:dyDescent="0.3">
      <c r="A236" s="5"/>
      <c r="C236" s="2"/>
    </row>
    <row r="237" spans="1:3" ht="13.8" x14ac:dyDescent="0.3">
      <c r="A237" s="5"/>
      <c r="C237" s="2"/>
    </row>
    <row r="238" spans="1:3" ht="13.8" x14ac:dyDescent="0.3">
      <c r="A238" s="5"/>
      <c r="C238" s="2"/>
    </row>
    <row r="239" spans="1:3" ht="13.8" x14ac:dyDescent="0.3">
      <c r="A239" s="5"/>
      <c r="C239" s="2"/>
    </row>
    <row r="240" spans="1:3" ht="13.8" x14ac:dyDescent="0.3">
      <c r="A240" s="5"/>
      <c r="C240" s="2"/>
    </row>
    <row r="241" spans="1:3" ht="13.8" x14ac:dyDescent="0.3">
      <c r="A241" s="5"/>
      <c r="C241" s="2"/>
    </row>
    <row r="242" spans="1:3" ht="13.8" x14ac:dyDescent="0.3">
      <c r="A242" s="5"/>
      <c r="C242" s="2"/>
    </row>
    <row r="243" spans="1:3" ht="13.8" x14ac:dyDescent="0.3">
      <c r="A243" s="5"/>
      <c r="C243" s="2"/>
    </row>
    <row r="244" spans="1:3" ht="13.8" x14ac:dyDescent="0.3">
      <c r="A244" s="5"/>
      <c r="C244" s="2"/>
    </row>
    <row r="245" spans="1:3" ht="13.8" x14ac:dyDescent="0.3">
      <c r="A245" s="5"/>
      <c r="C245" s="2"/>
    </row>
    <row r="246" spans="1:3" ht="13.8" x14ac:dyDescent="0.3">
      <c r="A246" s="5"/>
      <c r="C246" s="2"/>
    </row>
    <row r="247" spans="1:3" ht="13.8" x14ac:dyDescent="0.3">
      <c r="A247" s="5"/>
      <c r="C247" s="2"/>
    </row>
    <row r="248" spans="1:3" ht="13.8" x14ac:dyDescent="0.3">
      <c r="A248" s="5"/>
      <c r="C248" s="2"/>
    </row>
    <row r="249" spans="1:3" ht="13.8" x14ac:dyDescent="0.3">
      <c r="A249" s="5"/>
      <c r="C249" s="2"/>
    </row>
    <row r="250" spans="1:3" ht="13.8" x14ac:dyDescent="0.3">
      <c r="A250" s="5"/>
      <c r="C250" s="2"/>
    </row>
    <row r="251" spans="1:3" ht="13.8" x14ac:dyDescent="0.3">
      <c r="A251" s="5"/>
      <c r="C251" s="2"/>
    </row>
    <row r="252" spans="1:3" ht="13.8" x14ac:dyDescent="0.3">
      <c r="A252" s="5"/>
      <c r="C252" s="2"/>
    </row>
    <row r="253" spans="1:3" ht="13.8" x14ac:dyDescent="0.3">
      <c r="A253" s="5"/>
      <c r="C253" s="2"/>
    </row>
    <row r="254" spans="1:3" ht="13.8" x14ac:dyDescent="0.3">
      <c r="A254" s="5"/>
      <c r="C254" s="2"/>
    </row>
    <row r="255" spans="1:3" ht="13.8" x14ac:dyDescent="0.3">
      <c r="A255" s="5"/>
      <c r="C255" s="2"/>
    </row>
    <row r="256" spans="1:3" ht="13.8" x14ac:dyDescent="0.3">
      <c r="A256" s="5"/>
      <c r="C256" s="2"/>
    </row>
    <row r="257" spans="1:3" ht="13.8" x14ac:dyDescent="0.3">
      <c r="A257" s="5"/>
      <c r="C257" s="2"/>
    </row>
    <row r="258" spans="1:3" ht="13.8" x14ac:dyDescent="0.3">
      <c r="A258" s="5"/>
      <c r="C258" s="2"/>
    </row>
    <row r="259" spans="1:3" ht="13.8" x14ac:dyDescent="0.3">
      <c r="A259" s="5"/>
      <c r="C259" s="2"/>
    </row>
    <row r="260" spans="1:3" ht="13.8" x14ac:dyDescent="0.3">
      <c r="A260" s="5"/>
      <c r="C260" s="2"/>
    </row>
    <row r="261" spans="1:3" ht="13.8" x14ac:dyDescent="0.3">
      <c r="A261" s="5"/>
      <c r="C261" s="2"/>
    </row>
    <row r="262" spans="1:3" ht="13.8" x14ac:dyDescent="0.3">
      <c r="A262" s="5"/>
      <c r="C262" s="2"/>
    </row>
    <row r="263" spans="1:3" ht="13.8" x14ac:dyDescent="0.3">
      <c r="A263" s="5"/>
      <c r="C263" s="2"/>
    </row>
    <row r="264" spans="1:3" ht="13.8" x14ac:dyDescent="0.3">
      <c r="A264" s="5"/>
      <c r="C264" s="2"/>
    </row>
    <row r="265" spans="1:3" ht="13.8" x14ac:dyDescent="0.3">
      <c r="A265" s="5"/>
      <c r="C265" s="2"/>
    </row>
    <row r="266" spans="1:3" ht="13.8" x14ac:dyDescent="0.3">
      <c r="A266" s="5"/>
      <c r="C266" s="2"/>
    </row>
    <row r="267" spans="1:3" ht="13.8" x14ac:dyDescent="0.3">
      <c r="A267" s="5"/>
      <c r="C267" s="2"/>
    </row>
    <row r="268" spans="1:3" ht="13.8" x14ac:dyDescent="0.3">
      <c r="A268" s="5"/>
      <c r="C268" s="2"/>
    </row>
    <row r="269" spans="1:3" ht="13.8" x14ac:dyDescent="0.3">
      <c r="A269" s="5"/>
      <c r="C269" s="2"/>
    </row>
    <row r="270" spans="1:3" ht="13.8" x14ac:dyDescent="0.3">
      <c r="A270" s="5"/>
      <c r="C270" s="2"/>
    </row>
    <row r="271" spans="1:3" ht="13.8" x14ac:dyDescent="0.3">
      <c r="A271" s="5"/>
      <c r="C271" s="2"/>
    </row>
    <row r="272" spans="1:3" ht="13.8" x14ac:dyDescent="0.3">
      <c r="A272" s="5"/>
      <c r="C272" s="2"/>
    </row>
    <row r="273" spans="1:3" ht="13.8" x14ac:dyDescent="0.3">
      <c r="A273" s="5"/>
      <c r="C273" s="2"/>
    </row>
    <row r="274" spans="1:3" ht="13.8" x14ac:dyDescent="0.3">
      <c r="A274" s="5"/>
      <c r="C274" s="2"/>
    </row>
    <row r="275" spans="1:3" ht="13.8" x14ac:dyDescent="0.3">
      <c r="A275" s="5"/>
      <c r="C275" s="2"/>
    </row>
    <row r="276" spans="1:3" ht="13.8" x14ac:dyDescent="0.3">
      <c r="A276" s="5"/>
      <c r="C276" s="2"/>
    </row>
    <row r="277" spans="1:3" ht="13.8" x14ac:dyDescent="0.3">
      <c r="A277" s="5"/>
      <c r="C277" s="2"/>
    </row>
    <row r="278" spans="1:3" ht="13.8" x14ac:dyDescent="0.3">
      <c r="A278" s="5"/>
      <c r="C278" s="2"/>
    </row>
    <row r="279" spans="1:3" ht="13.8" x14ac:dyDescent="0.3">
      <c r="A279" s="5"/>
      <c r="C279" s="2"/>
    </row>
    <row r="280" spans="1:3" ht="13.8" x14ac:dyDescent="0.3">
      <c r="A280" s="5"/>
      <c r="C280" s="2"/>
    </row>
    <row r="281" spans="1:3" ht="13.8" x14ac:dyDescent="0.3">
      <c r="A281" s="5"/>
      <c r="C281" s="2"/>
    </row>
    <row r="282" spans="1:3" ht="13.8" x14ac:dyDescent="0.3">
      <c r="A282" s="5"/>
      <c r="C282" s="2"/>
    </row>
    <row r="283" spans="1:3" ht="13.8" x14ac:dyDescent="0.3">
      <c r="A283" s="5"/>
      <c r="C283" s="2"/>
    </row>
    <row r="284" spans="1:3" ht="13.8" x14ac:dyDescent="0.3">
      <c r="A284" s="5"/>
      <c r="C284" s="2"/>
    </row>
    <row r="285" spans="1:3" ht="13.8" x14ac:dyDescent="0.3">
      <c r="A285" s="5"/>
      <c r="C285" s="2"/>
    </row>
    <row r="286" spans="1:3" ht="13.8" x14ac:dyDescent="0.3">
      <c r="A286" s="5"/>
      <c r="C286" s="2"/>
    </row>
    <row r="287" spans="1:3" ht="13.8" x14ac:dyDescent="0.3">
      <c r="A287" s="5"/>
      <c r="C287" s="2"/>
    </row>
    <row r="288" spans="1:3" ht="13.8" x14ac:dyDescent="0.3">
      <c r="A288" s="5"/>
      <c r="C288" s="2"/>
    </row>
    <row r="289" spans="1:3" ht="13.8" x14ac:dyDescent="0.3">
      <c r="A289" s="5"/>
      <c r="C289" s="2"/>
    </row>
    <row r="290" spans="1:3" ht="13.8" x14ac:dyDescent="0.3">
      <c r="A290" s="5"/>
      <c r="C290" s="2"/>
    </row>
    <row r="291" spans="1:3" ht="13.8" x14ac:dyDescent="0.3">
      <c r="A291" s="5"/>
      <c r="C291" s="2"/>
    </row>
    <row r="292" spans="1:3" ht="13.8" x14ac:dyDescent="0.3">
      <c r="A292" s="5"/>
      <c r="C292" s="2"/>
    </row>
    <row r="293" spans="1:3" ht="13.8" x14ac:dyDescent="0.3">
      <c r="A293" s="5"/>
      <c r="C293" s="2"/>
    </row>
    <row r="294" spans="1:3" ht="13.8" x14ac:dyDescent="0.3">
      <c r="A294" s="5"/>
      <c r="C294" s="2"/>
    </row>
    <row r="295" spans="1:3" ht="13.8" x14ac:dyDescent="0.3">
      <c r="A295" s="5"/>
      <c r="C295" s="2"/>
    </row>
    <row r="296" spans="1:3" ht="13.8" x14ac:dyDescent="0.3">
      <c r="A296" s="5"/>
      <c r="C296" s="2"/>
    </row>
    <row r="297" spans="1:3" ht="13.8" x14ac:dyDescent="0.3">
      <c r="A297" s="5"/>
      <c r="C297" s="2"/>
    </row>
    <row r="298" spans="1:3" ht="13.8" x14ac:dyDescent="0.3">
      <c r="A298" s="5"/>
      <c r="C298" s="2"/>
    </row>
    <row r="299" spans="1:3" ht="13.8" x14ac:dyDescent="0.3">
      <c r="A299" s="5"/>
      <c r="C299" s="2"/>
    </row>
    <row r="300" spans="1:3" ht="13.8" x14ac:dyDescent="0.3">
      <c r="A300" s="5"/>
      <c r="C300" s="2"/>
    </row>
    <row r="301" spans="1:3" ht="13.8" x14ac:dyDescent="0.3">
      <c r="A301" s="5"/>
      <c r="C301" s="2"/>
    </row>
    <row r="302" spans="1:3" ht="13.8" x14ac:dyDescent="0.3">
      <c r="A302" s="5"/>
      <c r="C302" s="2"/>
    </row>
    <row r="303" spans="1:3" ht="13.8" x14ac:dyDescent="0.3">
      <c r="A303" s="5"/>
      <c r="C303" s="2"/>
    </row>
    <row r="304" spans="1:3" ht="13.8" x14ac:dyDescent="0.3">
      <c r="A304" s="5"/>
      <c r="C304" s="2"/>
    </row>
    <row r="305" spans="1:3" ht="13.8" x14ac:dyDescent="0.3">
      <c r="A305" s="5"/>
      <c r="C305" s="2"/>
    </row>
    <row r="306" spans="1:3" ht="13.8" x14ac:dyDescent="0.3">
      <c r="A306" s="5"/>
      <c r="C306" s="2"/>
    </row>
    <row r="307" spans="1:3" ht="13.8" x14ac:dyDescent="0.3">
      <c r="A307" s="5"/>
      <c r="C307" s="2"/>
    </row>
    <row r="308" spans="1:3" ht="13.8" x14ac:dyDescent="0.3">
      <c r="A308" s="5"/>
      <c r="C308" s="2"/>
    </row>
    <row r="309" spans="1:3" ht="13.8" x14ac:dyDescent="0.3">
      <c r="A309" s="5"/>
      <c r="C309" s="2"/>
    </row>
    <row r="310" spans="1:3" ht="13.8" x14ac:dyDescent="0.3">
      <c r="A310" s="5"/>
      <c r="C310" s="2"/>
    </row>
    <row r="311" spans="1:3" ht="13.8" x14ac:dyDescent="0.3">
      <c r="A311" s="5"/>
      <c r="C311" s="2"/>
    </row>
    <row r="312" spans="1:3" ht="13.8" x14ac:dyDescent="0.3">
      <c r="A312" s="5"/>
      <c r="C312" s="2"/>
    </row>
    <row r="313" spans="1:3" ht="13.8" x14ac:dyDescent="0.3">
      <c r="A313" s="5"/>
      <c r="C313" s="2"/>
    </row>
    <row r="314" spans="1:3" ht="13.8" x14ac:dyDescent="0.3">
      <c r="A314" s="5"/>
      <c r="C314" s="2"/>
    </row>
    <row r="315" spans="1:3" ht="13.8" x14ac:dyDescent="0.3">
      <c r="A315" s="5"/>
      <c r="C315" s="2"/>
    </row>
    <row r="316" spans="1:3" ht="13.8" x14ac:dyDescent="0.3">
      <c r="A316" s="5"/>
      <c r="C316" s="2"/>
    </row>
    <row r="317" spans="1:3" ht="13.8" x14ac:dyDescent="0.3">
      <c r="A317" s="5"/>
      <c r="C317" s="2"/>
    </row>
    <row r="318" spans="1:3" ht="13.8" x14ac:dyDescent="0.3">
      <c r="A318" s="5"/>
      <c r="C318" s="2"/>
    </row>
    <row r="319" spans="1:3" ht="13.8" x14ac:dyDescent="0.3">
      <c r="A319" s="5"/>
      <c r="C319" s="2"/>
    </row>
    <row r="320" spans="1:3" ht="13.8" x14ac:dyDescent="0.3">
      <c r="A320" s="5"/>
      <c r="C320" s="2"/>
    </row>
    <row r="321" spans="1:3" ht="13.8" x14ac:dyDescent="0.3">
      <c r="A321" s="5"/>
      <c r="C321" s="2"/>
    </row>
    <row r="322" spans="1:3" ht="13.8" x14ac:dyDescent="0.3">
      <c r="A322" s="5"/>
      <c r="C322" s="2"/>
    </row>
    <row r="323" spans="1:3" ht="13.8" x14ac:dyDescent="0.3">
      <c r="A323" s="5"/>
      <c r="C323" s="2"/>
    </row>
    <row r="324" spans="1:3" ht="13.8" x14ac:dyDescent="0.3">
      <c r="A324" s="5"/>
      <c r="C324" s="2"/>
    </row>
    <row r="325" spans="1:3" ht="13.8" x14ac:dyDescent="0.3">
      <c r="A325" s="5"/>
      <c r="C325" s="2"/>
    </row>
    <row r="326" spans="1:3" ht="13.8" x14ac:dyDescent="0.3">
      <c r="A326" s="5"/>
      <c r="C326" s="2"/>
    </row>
    <row r="327" spans="1:3" ht="13.8" x14ac:dyDescent="0.3">
      <c r="A327" s="5"/>
      <c r="C327" s="2"/>
    </row>
    <row r="328" spans="1:3" ht="13.8" x14ac:dyDescent="0.3">
      <c r="A328" s="5"/>
      <c r="C328" s="2"/>
    </row>
    <row r="329" spans="1:3" ht="13.8" x14ac:dyDescent="0.3">
      <c r="A329" s="5"/>
      <c r="C329" s="2"/>
    </row>
    <row r="330" spans="1:3" ht="13.8" x14ac:dyDescent="0.3">
      <c r="A330" s="5"/>
      <c r="C330" s="2"/>
    </row>
    <row r="331" spans="1:3" ht="13.8" x14ac:dyDescent="0.3">
      <c r="A331" s="5"/>
      <c r="C331" s="2"/>
    </row>
    <row r="332" spans="1:3" ht="13.8" x14ac:dyDescent="0.3">
      <c r="A332" s="5"/>
      <c r="C332" s="2"/>
    </row>
    <row r="333" spans="1:3" ht="13.8" x14ac:dyDescent="0.3">
      <c r="A333" s="5"/>
      <c r="C333" s="2"/>
    </row>
    <row r="334" spans="1:3" ht="13.8" x14ac:dyDescent="0.3">
      <c r="A334" s="5"/>
      <c r="C334" s="2"/>
    </row>
    <row r="335" spans="1:3" ht="13.8" x14ac:dyDescent="0.3">
      <c r="A335" s="5"/>
      <c r="C335" s="2"/>
    </row>
    <row r="336" spans="1:3" ht="13.8" x14ac:dyDescent="0.3">
      <c r="A336" s="5"/>
      <c r="C336" s="2"/>
    </row>
    <row r="337" spans="1:3" ht="13.8" x14ac:dyDescent="0.3">
      <c r="A337" s="5"/>
      <c r="C337" s="2"/>
    </row>
    <row r="338" spans="1:3" ht="13.8" x14ac:dyDescent="0.3">
      <c r="A338" s="5"/>
      <c r="C338" s="2"/>
    </row>
    <row r="339" spans="1:3" ht="13.8" x14ac:dyDescent="0.3">
      <c r="A339" s="5"/>
      <c r="C339" s="2"/>
    </row>
    <row r="340" spans="1:3" ht="13.8" x14ac:dyDescent="0.3">
      <c r="A340" s="5"/>
      <c r="C340" s="2"/>
    </row>
    <row r="341" spans="1:3" ht="13.8" x14ac:dyDescent="0.3">
      <c r="A341" s="5"/>
      <c r="C341" s="2"/>
    </row>
    <row r="342" spans="1:3" ht="13.8" x14ac:dyDescent="0.3">
      <c r="A342" s="5"/>
      <c r="C342" s="2"/>
    </row>
    <row r="343" spans="1:3" ht="13.8" x14ac:dyDescent="0.3">
      <c r="A343" s="5"/>
      <c r="C343" s="2"/>
    </row>
    <row r="344" spans="1:3" ht="13.8" x14ac:dyDescent="0.3">
      <c r="A344" s="5"/>
      <c r="C344" s="2"/>
    </row>
    <row r="345" spans="1:3" ht="13.8" x14ac:dyDescent="0.3">
      <c r="A345" s="5"/>
      <c r="C345" s="2"/>
    </row>
    <row r="346" spans="1:3" ht="13.8" x14ac:dyDescent="0.3">
      <c r="A346" s="5"/>
      <c r="C346" s="2"/>
    </row>
    <row r="347" spans="1:3" ht="13.8" x14ac:dyDescent="0.3">
      <c r="A347" s="5"/>
      <c r="C347" s="2"/>
    </row>
    <row r="348" spans="1:3" ht="13.8" x14ac:dyDescent="0.3">
      <c r="A348" s="5"/>
      <c r="C348" s="2"/>
    </row>
    <row r="349" spans="1:3" ht="13.8" x14ac:dyDescent="0.3">
      <c r="A349" s="5"/>
      <c r="C349" s="2"/>
    </row>
    <row r="350" spans="1:3" ht="13.8" x14ac:dyDescent="0.3">
      <c r="A350" s="5"/>
      <c r="C350" s="2"/>
    </row>
    <row r="351" spans="1:3" ht="13.8" x14ac:dyDescent="0.3">
      <c r="A351" s="5"/>
      <c r="C351" s="2"/>
    </row>
    <row r="352" spans="1:3" ht="13.8" x14ac:dyDescent="0.3">
      <c r="A352" s="5"/>
      <c r="C352" s="2"/>
    </row>
    <row r="353" spans="1:3" ht="13.8" x14ac:dyDescent="0.3">
      <c r="A353" s="5"/>
      <c r="C353" s="2"/>
    </row>
    <row r="354" spans="1:3" ht="13.8" x14ac:dyDescent="0.3">
      <c r="A354" s="5"/>
      <c r="C354" s="2"/>
    </row>
    <row r="355" spans="1:3" ht="13.8" x14ac:dyDescent="0.3">
      <c r="A355" s="5"/>
      <c r="C355" s="2"/>
    </row>
    <row r="356" spans="1:3" ht="13.8" x14ac:dyDescent="0.3">
      <c r="A356" s="5"/>
      <c r="C356" s="2"/>
    </row>
    <row r="357" spans="1:3" ht="13.8" x14ac:dyDescent="0.3">
      <c r="A357" s="5"/>
      <c r="C357" s="2"/>
    </row>
    <row r="358" spans="1:3" ht="13.8" x14ac:dyDescent="0.3">
      <c r="A358" s="5"/>
      <c r="C358" s="2"/>
    </row>
    <row r="359" spans="1:3" ht="13.8" x14ac:dyDescent="0.3">
      <c r="A359" s="5"/>
      <c r="C359" s="2"/>
    </row>
    <row r="360" spans="1:3" ht="13.8" x14ac:dyDescent="0.3">
      <c r="A360" s="5"/>
      <c r="C360" s="2"/>
    </row>
    <row r="361" spans="1:3" ht="13.8" x14ac:dyDescent="0.3">
      <c r="A361" s="5"/>
      <c r="C361" s="2"/>
    </row>
    <row r="362" spans="1:3" ht="13.8" x14ac:dyDescent="0.3">
      <c r="A362" s="5"/>
      <c r="C362" s="2"/>
    </row>
    <row r="363" spans="1:3" ht="13.8" x14ac:dyDescent="0.3">
      <c r="A363" s="5"/>
      <c r="C363" s="2"/>
    </row>
    <row r="364" spans="1:3" ht="13.8" x14ac:dyDescent="0.3">
      <c r="A364" s="5"/>
      <c r="C364" s="2"/>
    </row>
    <row r="365" spans="1:3" ht="13.8" x14ac:dyDescent="0.3">
      <c r="A365" s="5"/>
      <c r="C365" s="2"/>
    </row>
    <row r="366" spans="1:3" ht="13.8" x14ac:dyDescent="0.3">
      <c r="A366" s="5"/>
      <c r="C366" s="2"/>
    </row>
    <row r="367" spans="1:3" ht="13.8" x14ac:dyDescent="0.3">
      <c r="A367" s="5"/>
      <c r="C367" s="2"/>
    </row>
    <row r="368" spans="1:3" ht="13.8" x14ac:dyDescent="0.3">
      <c r="A368" s="5"/>
      <c r="C368" s="2"/>
    </row>
    <row r="369" spans="1:3" ht="13.8" x14ac:dyDescent="0.3">
      <c r="A369" s="5"/>
      <c r="C369" s="2"/>
    </row>
    <row r="370" spans="1:3" ht="13.8" x14ac:dyDescent="0.3">
      <c r="A370" s="5"/>
      <c r="C370" s="2"/>
    </row>
    <row r="371" spans="1:3" ht="13.8" x14ac:dyDescent="0.3">
      <c r="A371" s="5"/>
      <c r="C371" s="2"/>
    </row>
    <row r="372" spans="1:3" ht="13.8" x14ac:dyDescent="0.3">
      <c r="A372" s="5"/>
      <c r="C372" s="2"/>
    </row>
    <row r="373" spans="1:3" ht="13.8" x14ac:dyDescent="0.3">
      <c r="A373" s="5"/>
      <c r="C373" s="2"/>
    </row>
    <row r="374" spans="1:3" ht="13.8" x14ac:dyDescent="0.3">
      <c r="A374" s="5"/>
      <c r="C374" s="2"/>
    </row>
    <row r="375" spans="1:3" ht="13.8" x14ac:dyDescent="0.3">
      <c r="A375" s="5"/>
      <c r="C375" s="2"/>
    </row>
    <row r="376" spans="1:3" ht="13.8" x14ac:dyDescent="0.3">
      <c r="A376" s="5"/>
      <c r="C376" s="2"/>
    </row>
    <row r="377" spans="1:3" ht="13.8" x14ac:dyDescent="0.3">
      <c r="A377" s="5"/>
      <c r="C377" s="2"/>
    </row>
    <row r="378" spans="1:3" ht="13.8" x14ac:dyDescent="0.3">
      <c r="A378" s="5"/>
      <c r="C378" s="2"/>
    </row>
    <row r="379" spans="1:3" ht="13.8" x14ac:dyDescent="0.3">
      <c r="A379" s="5"/>
      <c r="C379" s="2"/>
    </row>
    <row r="380" spans="1:3" ht="13.8" x14ac:dyDescent="0.3">
      <c r="A380" s="5"/>
      <c r="C380" s="2"/>
    </row>
    <row r="381" spans="1:3" ht="13.8" x14ac:dyDescent="0.3">
      <c r="A381" s="5"/>
      <c r="C381" s="2"/>
    </row>
    <row r="382" spans="1:3" ht="13.8" x14ac:dyDescent="0.3">
      <c r="A382" s="5"/>
      <c r="C382" s="2"/>
    </row>
    <row r="383" spans="1:3" ht="13.8" x14ac:dyDescent="0.3">
      <c r="A383" s="5"/>
      <c r="C383" s="2"/>
    </row>
    <row r="384" spans="1:3" ht="13.8" x14ac:dyDescent="0.3">
      <c r="A384" s="5"/>
      <c r="C384" s="2"/>
    </row>
    <row r="385" spans="1:3" ht="13.8" x14ac:dyDescent="0.3">
      <c r="A385" s="5"/>
      <c r="C385" s="2"/>
    </row>
    <row r="386" spans="1:3" ht="13.8" x14ac:dyDescent="0.3">
      <c r="A386" s="5"/>
      <c r="C386" s="2"/>
    </row>
    <row r="387" spans="1:3" ht="13.8" x14ac:dyDescent="0.3">
      <c r="A387" s="5"/>
      <c r="C387" s="2"/>
    </row>
    <row r="388" spans="1:3" ht="13.8" x14ac:dyDescent="0.3">
      <c r="A388" s="5"/>
      <c r="C388" s="2"/>
    </row>
    <row r="389" spans="1:3" ht="13.8" x14ac:dyDescent="0.3">
      <c r="A389" s="5"/>
      <c r="C389" s="2"/>
    </row>
    <row r="390" spans="1:3" ht="13.8" x14ac:dyDescent="0.3">
      <c r="A390" s="5"/>
      <c r="C390" s="2"/>
    </row>
    <row r="391" spans="1:3" ht="13.8" x14ac:dyDescent="0.3">
      <c r="A391" s="5"/>
      <c r="C391" s="2"/>
    </row>
    <row r="392" spans="1:3" ht="13.8" x14ac:dyDescent="0.3">
      <c r="A392" s="5"/>
      <c r="C392" s="2"/>
    </row>
    <row r="393" spans="1:3" ht="13.8" x14ac:dyDescent="0.3">
      <c r="A393" s="5"/>
      <c r="C393" s="2"/>
    </row>
    <row r="394" spans="1:3" ht="13.8" x14ac:dyDescent="0.3">
      <c r="A394" s="5"/>
      <c r="C394" s="2"/>
    </row>
    <row r="395" spans="1:3" ht="13.8" x14ac:dyDescent="0.3">
      <c r="A395" s="5"/>
      <c r="C395" s="2"/>
    </row>
    <row r="396" spans="1:3" ht="13.8" x14ac:dyDescent="0.3">
      <c r="A396" s="5"/>
      <c r="C396" s="2"/>
    </row>
    <row r="397" spans="1:3" ht="13.8" x14ac:dyDescent="0.3">
      <c r="A397" s="5"/>
      <c r="C397" s="2"/>
    </row>
    <row r="398" spans="1:3" ht="13.8" x14ac:dyDescent="0.3">
      <c r="A398" s="5"/>
      <c r="C398" s="2"/>
    </row>
    <row r="399" spans="1:3" ht="13.8" x14ac:dyDescent="0.3">
      <c r="A399" s="5"/>
      <c r="C399" s="2"/>
    </row>
    <row r="400" spans="1:3" ht="13.8" x14ac:dyDescent="0.3">
      <c r="A400" s="5"/>
      <c r="C400" s="2"/>
    </row>
    <row r="401" spans="1:3" ht="13.8" x14ac:dyDescent="0.3">
      <c r="A401" s="5"/>
      <c r="C401" s="2"/>
    </row>
    <row r="402" spans="1:3" ht="13.8" x14ac:dyDescent="0.3">
      <c r="A402" s="5"/>
      <c r="C402" s="2"/>
    </row>
    <row r="403" spans="1:3" ht="13.8" x14ac:dyDescent="0.3">
      <c r="A403" s="5"/>
      <c r="C403" s="2"/>
    </row>
    <row r="404" spans="1:3" ht="13.8" x14ac:dyDescent="0.3">
      <c r="A404" s="5"/>
      <c r="C404" s="2"/>
    </row>
    <row r="405" spans="1:3" ht="13.8" x14ac:dyDescent="0.3">
      <c r="A405" s="5"/>
      <c r="C405" s="2"/>
    </row>
    <row r="406" spans="1:3" ht="13.8" x14ac:dyDescent="0.3">
      <c r="A406" s="5"/>
      <c r="C406" s="2"/>
    </row>
    <row r="407" spans="1:3" ht="13.8" x14ac:dyDescent="0.3">
      <c r="A407" s="5"/>
      <c r="C407" s="2"/>
    </row>
    <row r="408" spans="1:3" ht="13.8" x14ac:dyDescent="0.3">
      <c r="A408" s="5"/>
      <c r="C408" s="2"/>
    </row>
    <row r="409" spans="1:3" ht="13.8" x14ac:dyDescent="0.3">
      <c r="A409" s="5"/>
      <c r="C409" s="2"/>
    </row>
    <row r="410" spans="1:3" ht="13.8" x14ac:dyDescent="0.3">
      <c r="A410" s="5"/>
      <c r="C410" s="2"/>
    </row>
    <row r="411" spans="1:3" ht="13.8" x14ac:dyDescent="0.3">
      <c r="A411" s="5"/>
      <c r="C411" s="2"/>
    </row>
    <row r="412" spans="1:3" ht="13.8" x14ac:dyDescent="0.3">
      <c r="A412" s="5"/>
      <c r="C412" s="2"/>
    </row>
    <row r="413" spans="1:3" ht="13.8" x14ac:dyDescent="0.3">
      <c r="A413" s="5"/>
      <c r="C413" s="2"/>
    </row>
    <row r="414" spans="1:3" ht="13.8" x14ac:dyDescent="0.3">
      <c r="A414" s="5"/>
      <c r="C414" s="2"/>
    </row>
    <row r="415" spans="1:3" ht="13.8" x14ac:dyDescent="0.3">
      <c r="A415" s="5"/>
      <c r="C415" s="2"/>
    </row>
    <row r="416" spans="1:3" ht="13.8" x14ac:dyDescent="0.3">
      <c r="A416" s="5"/>
      <c r="C416" s="2"/>
    </row>
    <row r="417" spans="1:3" ht="13.8" x14ac:dyDescent="0.3">
      <c r="A417" s="5"/>
      <c r="C417" s="2"/>
    </row>
    <row r="418" spans="1:3" ht="13.8" x14ac:dyDescent="0.3">
      <c r="A418" s="5"/>
      <c r="C418" s="2"/>
    </row>
    <row r="419" spans="1:3" ht="13.8" x14ac:dyDescent="0.3">
      <c r="A419" s="5"/>
      <c r="C419" s="2"/>
    </row>
    <row r="420" spans="1:3" ht="13.8" x14ac:dyDescent="0.3">
      <c r="A420" s="5"/>
      <c r="C420" s="2"/>
    </row>
    <row r="421" spans="1:3" ht="13.8" x14ac:dyDescent="0.3">
      <c r="A421" s="5"/>
      <c r="C421" s="2"/>
    </row>
    <row r="422" spans="1:3" ht="13.8" x14ac:dyDescent="0.3">
      <c r="A422" s="5"/>
      <c r="C422" s="2"/>
    </row>
    <row r="423" spans="1:3" ht="13.8" x14ac:dyDescent="0.3">
      <c r="A423" s="5"/>
      <c r="C423" s="2"/>
    </row>
    <row r="424" spans="1:3" ht="13.8" x14ac:dyDescent="0.3">
      <c r="A424" s="5"/>
      <c r="C424" s="2"/>
    </row>
    <row r="425" spans="1:3" ht="13.8" x14ac:dyDescent="0.3">
      <c r="A425" s="5"/>
      <c r="C425" s="2"/>
    </row>
    <row r="426" spans="1:3" ht="13.8" x14ac:dyDescent="0.3">
      <c r="A426" s="5"/>
      <c r="C426" s="2"/>
    </row>
    <row r="427" spans="1:3" ht="13.8" x14ac:dyDescent="0.3">
      <c r="A427" s="5"/>
      <c r="C427" s="2"/>
    </row>
    <row r="428" spans="1:3" ht="13.8" x14ac:dyDescent="0.3">
      <c r="A428" s="5"/>
      <c r="C428" s="2"/>
    </row>
    <row r="429" spans="1:3" ht="13.8" x14ac:dyDescent="0.3">
      <c r="A429" s="5"/>
      <c r="C429" s="2"/>
    </row>
    <row r="430" spans="1:3" ht="13.8" x14ac:dyDescent="0.3">
      <c r="A430" s="5"/>
      <c r="C430" s="2"/>
    </row>
    <row r="431" spans="1:3" ht="13.8" x14ac:dyDescent="0.3">
      <c r="A431" s="5"/>
      <c r="C431" s="2"/>
    </row>
    <row r="432" spans="1:3" ht="13.8" x14ac:dyDescent="0.3">
      <c r="A432" s="5"/>
      <c r="C432" s="2"/>
    </row>
    <row r="433" spans="1:3" ht="13.8" x14ac:dyDescent="0.3">
      <c r="A433" s="5"/>
      <c r="C433" s="2"/>
    </row>
    <row r="434" spans="1:3" ht="13.8" x14ac:dyDescent="0.3">
      <c r="A434" s="5"/>
      <c r="C434" s="2"/>
    </row>
    <row r="435" spans="1:3" ht="13.8" x14ac:dyDescent="0.3">
      <c r="A435" s="5"/>
      <c r="C435" s="2"/>
    </row>
    <row r="436" spans="1:3" ht="13.8" x14ac:dyDescent="0.3">
      <c r="A436" s="5"/>
      <c r="C436" s="2"/>
    </row>
    <row r="437" spans="1:3" ht="13.8" x14ac:dyDescent="0.3">
      <c r="A437" s="5"/>
      <c r="C437" s="2"/>
    </row>
    <row r="438" spans="1:3" ht="13.8" x14ac:dyDescent="0.3">
      <c r="A438" s="5"/>
      <c r="C438" s="2"/>
    </row>
    <row r="439" spans="1:3" ht="13.8" x14ac:dyDescent="0.3">
      <c r="A439" s="5"/>
      <c r="C439" s="2"/>
    </row>
    <row r="440" spans="1:3" ht="13.8" x14ac:dyDescent="0.3">
      <c r="A440" s="5"/>
      <c r="C440" s="2"/>
    </row>
    <row r="441" spans="1:3" ht="13.8" x14ac:dyDescent="0.3">
      <c r="A441" s="5"/>
      <c r="C441" s="2"/>
    </row>
    <row r="442" spans="1:3" ht="13.8" x14ac:dyDescent="0.3">
      <c r="A442" s="5"/>
      <c r="C442" s="2"/>
    </row>
    <row r="443" spans="1:3" ht="13.8" x14ac:dyDescent="0.3">
      <c r="A443" s="5"/>
      <c r="C443" s="2"/>
    </row>
    <row r="444" spans="1:3" ht="13.8" x14ac:dyDescent="0.3">
      <c r="A444" s="5"/>
      <c r="C444" s="2"/>
    </row>
    <row r="445" spans="1:3" ht="13.8" x14ac:dyDescent="0.3">
      <c r="A445" s="5"/>
      <c r="C445" s="2"/>
    </row>
    <row r="446" spans="1:3" ht="13.8" x14ac:dyDescent="0.3">
      <c r="A446" s="5"/>
      <c r="C446" s="2"/>
    </row>
    <row r="447" spans="1:3" ht="13.8" x14ac:dyDescent="0.3">
      <c r="A447" s="5"/>
      <c r="C447" s="2"/>
    </row>
    <row r="448" spans="1:3" ht="13.8" x14ac:dyDescent="0.3">
      <c r="A448" s="5"/>
      <c r="C448" s="2"/>
    </row>
    <row r="449" spans="1:3" ht="13.8" x14ac:dyDescent="0.3">
      <c r="A449" s="5"/>
      <c r="C449" s="2"/>
    </row>
    <row r="450" spans="1:3" ht="13.8" x14ac:dyDescent="0.3">
      <c r="A450" s="5"/>
      <c r="C450" s="2"/>
    </row>
    <row r="451" spans="1:3" ht="13.8" x14ac:dyDescent="0.3">
      <c r="A451" s="5"/>
      <c r="C451" s="2"/>
    </row>
    <row r="452" spans="1:3" ht="13.8" x14ac:dyDescent="0.3">
      <c r="A452" s="5"/>
      <c r="C452" s="2"/>
    </row>
    <row r="453" spans="1:3" ht="13.8" x14ac:dyDescent="0.3">
      <c r="A453" s="5"/>
      <c r="C453" s="2"/>
    </row>
    <row r="454" spans="1:3" ht="13.8" x14ac:dyDescent="0.3">
      <c r="A454" s="5"/>
      <c r="C454" s="2"/>
    </row>
    <row r="455" spans="1:3" ht="13.8" x14ac:dyDescent="0.3">
      <c r="A455" s="5"/>
      <c r="C455" s="2"/>
    </row>
    <row r="456" spans="1:3" ht="13.8" x14ac:dyDescent="0.3">
      <c r="A456" s="5"/>
      <c r="C456" s="2"/>
    </row>
    <row r="457" spans="1:3" ht="13.8" x14ac:dyDescent="0.3">
      <c r="A457" s="5"/>
      <c r="C457" s="2"/>
    </row>
    <row r="458" spans="1:3" ht="13.8" x14ac:dyDescent="0.3">
      <c r="A458" s="5"/>
      <c r="C458" s="2"/>
    </row>
    <row r="459" spans="1:3" ht="13.8" x14ac:dyDescent="0.3">
      <c r="A459" s="5"/>
      <c r="C459" s="2"/>
    </row>
    <row r="460" spans="1:3" ht="13.8" x14ac:dyDescent="0.3">
      <c r="A460" s="5"/>
      <c r="C460" s="2"/>
    </row>
    <row r="461" spans="1:3" ht="13.8" x14ac:dyDescent="0.3">
      <c r="A461" s="5"/>
      <c r="C461" s="2"/>
    </row>
    <row r="462" spans="1:3" ht="13.8" x14ac:dyDescent="0.3">
      <c r="A462" s="5"/>
      <c r="C462" s="2"/>
    </row>
    <row r="463" spans="1:3" ht="13.8" x14ac:dyDescent="0.3">
      <c r="A463" s="5"/>
      <c r="C463" s="2"/>
    </row>
    <row r="464" spans="1:3" ht="13.8" x14ac:dyDescent="0.3">
      <c r="A464" s="5"/>
      <c r="C464" s="2"/>
    </row>
    <row r="465" spans="1:3" ht="13.8" x14ac:dyDescent="0.3">
      <c r="A465" s="5"/>
      <c r="C465" s="2"/>
    </row>
    <row r="466" spans="1:3" ht="13.8" x14ac:dyDescent="0.3">
      <c r="A466" s="5"/>
      <c r="C466" s="2"/>
    </row>
    <row r="467" spans="1:3" ht="13.8" x14ac:dyDescent="0.3">
      <c r="A467" s="5"/>
      <c r="C467" s="2"/>
    </row>
    <row r="468" spans="1:3" ht="13.8" x14ac:dyDescent="0.3">
      <c r="A468" s="5"/>
      <c r="C468" s="2"/>
    </row>
    <row r="469" spans="1:3" ht="13.8" x14ac:dyDescent="0.3">
      <c r="A469" s="5"/>
      <c r="C469" s="2"/>
    </row>
    <row r="470" spans="1:3" ht="13.8" x14ac:dyDescent="0.3">
      <c r="A470" s="5"/>
      <c r="C470" s="2"/>
    </row>
    <row r="471" spans="1:3" ht="13.8" x14ac:dyDescent="0.3">
      <c r="A471" s="5"/>
      <c r="C471" s="2"/>
    </row>
    <row r="472" spans="1:3" ht="13.8" x14ac:dyDescent="0.3">
      <c r="A472" s="5"/>
      <c r="C472" s="2"/>
    </row>
    <row r="473" spans="1:3" ht="13.8" x14ac:dyDescent="0.3">
      <c r="A473" s="5"/>
      <c r="C473" s="2"/>
    </row>
    <row r="474" spans="1:3" ht="13.8" x14ac:dyDescent="0.3">
      <c r="A474" s="5"/>
      <c r="C474" s="2"/>
    </row>
    <row r="475" spans="1:3" ht="13.8" x14ac:dyDescent="0.3">
      <c r="A475" s="5"/>
      <c r="C475" s="2"/>
    </row>
    <row r="476" spans="1:3" ht="13.8" x14ac:dyDescent="0.3">
      <c r="A476" s="5"/>
      <c r="C476" s="2"/>
    </row>
    <row r="477" spans="1:3" ht="13.8" x14ac:dyDescent="0.3">
      <c r="A477" s="5"/>
      <c r="C477" s="2"/>
    </row>
    <row r="478" spans="1:3" ht="13.8" x14ac:dyDescent="0.3">
      <c r="A478" s="5"/>
      <c r="C478" s="2"/>
    </row>
    <row r="479" spans="1:3" ht="13.8" x14ac:dyDescent="0.3">
      <c r="A479" s="5"/>
      <c r="C479" s="2"/>
    </row>
    <row r="480" spans="1:3" ht="13.8" x14ac:dyDescent="0.3">
      <c r="A480" s="5"/>
      <c r="C480" s="2"/>
    </row>
    <row r="481" spans="1:3" ht="13.8" x14ac:dyDescent="0.3">
      <c r="A481" s="5"/>
      <c r="C481" s="2"/>
    </row>
    <row r="482" spans="1:3" ht="13.8" x14ac:dyDescent="0.3">
      <c r="A482" s="5"/>
      <c r="C482" s="2"/>
    </row>
    <row r="483" spans="1:3" ht="13.8" x14ac:dyDescent="0.3">
      <c r="A483" s="5"/>
      <c r="C483" s="2"/>
    </row>
    <row r="484" spans="1:3" ht="13.8" x14ac:dyDescent="0.3">
      <c r="A484" s="5"/>
      <c r="C484" s="2"/>
    </row>
    <row r="485" spans="1:3" ht="13.8" x14ac:dyDescent="0.3">
      <c r="A485" s="5"/>
      <c r="C485" s="2"/>
    </row>
    <row r="486" spans="1:3" ht="13.8" x14ac:dyDescent="0.3">
      <c r="A486" s="5"/>
      <c r="C486" s="2"/>
    </row>
    <row r="487" spans="1:3" ht="13.8" x14ac:dyDescent="0.3">
      <c r="A487" s="5"/>
      <c r="C487" s="2"/>
    </row>
    <row r="488" spans="1:3" ht="13.8" x14ac:dyDescent="0.3">
      <c r="A488" s="5"/>
      <c r="C488" s="2"/>
    </row>
    <row r="489" spans="1:3" ht="13.8" x14ac:dyDescent="0.3">
      <c r="A489" s="5"/>
      <c r="C489" s="2"/>
    </row>
    <row r="490" spans="1:3" ht="13.8" x14ac:dyDescent="0.3">
      <c r="A490" s="5"/>
      <c r="C490" s="2"/>
    </row>
    <row r="491" spans="1:3" ht="13.8" x14ac:dyDescent="0.3">
      <c r="A491" s="5"/>
      <c r="C491" s="2"/>
    </row>
    <row r="492" spans="1:3" ht="13.8" x14ac:dyDescent="0.3">
      <c r="A492" s="5"/>
      <c r="C492" s="2"/>
    </row>
    <row r="493" spans="1:3" ht="13.8" x14ac:dyDescent="0.3">
      <c r="A493" s="5"/>
      <c r="C493" s="2"/>
    </row>
    <row r="494" spans="1:3" ht="13.8" x14ac:dyDescent="0.3">
      <c r="A494" s="5"/>
      <c r="C494" s="2"/>
    </row>
    <row r="495" spans="1:3" ht="13.8" x14ac:dyDescent="0.3">
      <c r="A495" s="5"/>
      <c r="C495" s="2"/>
    </row>
    <row r="496" spans="1:3" ht="13.8" x14ac:dyDescent="0.3">
      <c r="A496" s="5"/>
      <c r="C496" s="2"/>
    </row>
    <row r="497" spans="1:3" ht="13.8" x14ac:dyDescent="0.3">
      <c r="A497" s="5"/>
      <c r="C497" s="2"/>
    </row>
    <row r="498" spans="1:3" ht="13.8" x14ac:dyDescent="0.3">
      <c r="A498" s="5"/>
      <c r="C498" s="2"/>
    </row>
    <row r="499" spans="1:3" ht="13.8" x14ac:dyDescent="0.3">
      <c r="A499" s="5"/>
      <c r="C499" s="2"/>
    </row>
    <row r="500" spans="1:3" ht="13.8" x14ac:dyDescent="0.3">
      <c r="A500" s="5"/>
      <c r="C500" s="2"/>
    </row>
    <row r="501" spans="1:3" ht="13.8" x14ac:dyDescent="0.3">
      <c r="A501" s="5"/>
      <c r="C501" s="2"/>
    </row>
    <row r="502" spans="1:3" ht="13.8" x14ac:dyDescent="0.3">
      <c r="A502" s="5"/>
      <c r="C502" s="2"/>
    </row>
    <row r="503" spans="1:3" ht="13.8" x14ac:dyDescent="0.3">
      <c r="A503" s="5"/>
      <c r="C503" s="2"/>
    </row>
    <row r="504" spans="1:3" ht="13.8" x14ac:dyDescent="0.3">
      <c r="A504" s="5"/>
      <c r="C504" s="2"/>
    </row>
    <row r="505" spans="1:3" ht="13.8" x14ac:dyDescent="0.3">
      <c r="A505" s="5"/>
      <c r="C505" s="2"/>
    </row>
    <row r="506" spans="1:3" ht="13.8" x14ac:dyDescent="0.3">
      <c r="A506" s="5"/>
      <c r="C506" s="2"/>
    </row>
    <row r="507" spans="1:3" ht="13.8" x14ac:dyDescent="0.3">
      <c r="A507" s="5"/>
      <c r="C507" s="2"/>
    </row>
    <row r="508" spans="1:3" ht="13.8" x14ac:dyDescent="0.3">
      <c r="A508" s="5"/>
      <c r="C508" s="2"/>
    </row>
    <row r="509" spans="1:3" ht="13.8" x14ac:dyDescent="0.3">
      <c r="A509" s="5"/>
      <c r="C509" s="2"/>
    </row>
    <row r="510" spans="1:3" ht="13.8" x14ac:dyDescent="0.3">
      <c r="A510" s="5"/>
      <c r="C510" s="2"/>
    </row>
    <row r="511" spans="1:3" ht="13.8" x14ac:dyDescent="0.3">
      <c r="A511" s="5"/>
      <c r="C511" s="2"/>
    </row>
    <row r="512" spans="1:3" ht="13.8" x14ac:dyDescent="0.3">
      <c r="A512" s="5"/>
      <c r="C512" s="2"/>
    </row>
    <row r="513" spans="1:3" ht="13.8" x14ac:dyDescent="0.3">
      <c r="A513" s="5"/>
      <c r="C513" s="2"/>
    </row>
    <row r="514" spans="1:3" ht="13.8" x14ac:dyDescent="0.3">
      <c r="A514" s="5"/>
      <c r="C514" s="2"/>
    </row>
    <row r="515" spans="1:3" ht="13.8" x14ac:dyDescent="0.3">
      <c r="A515" s="5"/>
      <c r="C515" s="2"/>
    </row>
    <row r="516" spans="1:3" ht="13.8" x14ac:dyDescent="0.3">
      <c r="A516" s="5"/>
      <c r="C516" s="2"/>
    </row>
    <row r="517" spans="1:3" ht="13.8" x14ac:dyDescent="0.3">
      <c r="A517" s="5"/>
      <c r="C517" s="2"/>
    </row>
    <row r="518" spans="1:3" ht="13.8" x14ac:dyDescent="0.3">
      <c r="A518" s="5"/>
      <c r="C518" s="2"/>
    </row>
    <row r="519" spans="1:3" ht="13.8" x14ac:dyDescent="0.3">
      <c r="A519" s="5"/>
      <c r="C519" s="2"/>
    </row>
    <row r="520" spans="1:3" ht="13.8" x14ac:dyDescent="0.3">
      <c r="A520" s="5"/>
      <c r="C520" s="2"/>
    </row>
    <row r="521" spans="1:3" ht="13.8" x14ac:dyDescent="0.3">
      <c r="A521" s="5"/>
      <c r="C521" s="2"/>
    </row>
    <row r="522" spans="1:3" ht="13.8" x14ac:dyDescent="0.3">
      <c r="A522" s="5"/>
      <c r="C522" s="2"/>
    </row>
    <row r="523" spans="1:3" ht="13.8" x14ac:dyDescent="0.3">
      <c r="A523" s="5"/>
      <c r="C523" s="2"/>
    </row>
    <row r="524" spans="1:3" ht="13.8" x14ac:dyDescent="0.3">
      <c r="A524" s="5"/>
      <c r="C524" s="2"/>
    </row>
    <row r="525" spans="1:3" ht="13.8" x14ac:dyDescent="0.3">
      <c r="A525" s="5"/>
      <c r="C525" s="2"/>
    </row>
    <row r="526" spans="1:3" ht="13.8" x14ac:dyDescent="0.3">
      <c r="A526" s="5"/>
      <c r="C526" s="2"/>
    </row>
    <row r="527" spans="1:3" ht="13.8" x14ac:dyDescent="0.3">
      <c r="A527" s="5"/>
      <c r="C527" s="2"/>
    </row>
    <row r="528" spans="1:3" ht="13.8" x14ac:dyDescent="0.3">
      <c r="A528" s="5"/>
      <c r="C528" s="2"/>
    </row>
    <row r="529" spans="1:3" ht="13.8" x14ac:dyDescent="0.3">
      <c r="A529" s="5"/>
      <c r="C529" s="2"/>
    </row>
    <row r="530" spans="1:3" ht="13.8" x14ac:dyDescent="0.3">
      <c r="A530" s="5"/>
      <c r="C530" s="2"/>
    </row>
    <row r="531" spans="1:3" ht="13.8" x14ac:dyDescent="0.3">
      <c r="A531" s="5"/>
      <c r="C531" s="2"/>
    </row>
    <row r="532" spans="1:3" ht="13.8" x14ac:dyDescent="0.3">
      <c r="A532" s="5"/>
      <c r="C532" s="2"/>
    </row>
    <row r="533" spans="1:3" ht="13.8" x14ac:dyDescent="0.3">
      <c r="A533" s="5"/>
      <c r="C533" s="2"/>
    </row>
    <row r="534" spans="1:3" ht="13.8" x14ac:dyDescent="0.3">
      <c r="A534" s="5"/>
      <c r="C534" s="2"/>
    </row>
    <row r="535" spans="1:3" ht="13.8" x14ac:dyDescent="0.3">
      <c r="A535" s="5"/>
      <c r="C535" s="2"/>
    </row>
    <row r="536" spans="1:3" ht="13.8" x14ac:dyDescent="0.3">
      <c r="A536" s="5"/>
      <c r="C536" s="2"/>
    </row>
    <row r="537" spans="1:3" ht="13.8" x14ac:dyDescent="0.3">
      <c r="A537" s="5"/>
      <c r="C537" s="2"/>
    </row>
    <row r="538" spans="1:3" ht="13.8" x14ac:dyDescent="0.3">
      <c r="A538" s="5"/>
      <c r="C538" s="2"/>
    </row>
    <row r="539" spans="1:3" ht="13.8" x14ac:dyDescent="0.3">
      <c r="A539" s="5"/>
      <c r="C539" s="2"/>
    </row>
    <row r="540" spans="1:3" ht="13.8" x14ac:dyDescent="0.3">
      <c r="A540" s="5"/>
      <c r="C540" s="2"/>
    </row>
    <row r="541" spans="1:3" ht="13.8" x14ac:dyDescent="0.3">
      <c r="A541" s="5"/>
      <c r="C541" s="2"/>
    </row>
    <row r="542" spans="1:3" ht="13.8" x14ac:dyDescent="0.3">
      <c r="A542" s="5"/>
      <c r="C542" s="2"/>
    </row>
    <row r="543" spans="1:3" ht="13.8" x14ac:dyDescent="0.3">
      <c r="A543" s="5"/>
      <c r="C543" s="2"/>
    </row>
    <row r="544" spans="1:3" ht="13.8" x14ac:dyDescent="0.3">
      <c r="A544" s="5"/>
      <c r="C544" s="2"/>
    </row>
    <row r="545" spans="1:3" ht="13.8" x14ac:dyDescent="0.3">
      <c r="A545" s="5"/>
      <c r="C545" s="2"/>
    </row>
    <row r="546" spans="1:3" ht="13.8" x14ac:dyDescent="0.3">
      <c r="A546" s="5"/>
      <c r="C546" s="2"/>
    </row>
    <row r="547" spans="1:3" ht="13.8" x14ac:dyDescent="0.3">
      <c r="A547" s="5"/>
      <c r="C547" s="2"/>
    </row>
    <row r="548" spans="1:3" ht="13.8" x14ac:dyDescent="0.3">
      <c r="A548" s="5"/>
      <c r="C548" s="2"/>
    </row>
    <row r="549" spans="1:3" ht="13.8" x14ac:dyDescent="0.3">
      <c r="A549" s="5"/>
      <c r="C549" s="2"/>
    </row>
    <row r="550" spans="1:3" ht="13.8" x14ac:dyDescent="0.3">
      <c r="A550" s="5"/>
      <c r="C550" s="2"/>
    </row>
    <row r="551" spans="1:3" ht="13.8" x14ac:dyDescent="0.3">
      <c r="A551" s="5"/>
      <c r="C551" s="2"/>
    </row>
    <row r="552" spans="1:3" ht="13.8" x14ac:dyDescent="0.3">
      <c r="A552" s="5"/>
      <c r="C552" s="2"/>
    </row>
    <row r="553" spans="1:3" ht="13.8" x14ac:dyDescent="0.3">
      <c r="A553" s="5"/>
      <c r="C553" s="2"/>
    </row>
    <row r="554" spans="1:3" ht="13.8" x14ac:dyDescent="0.3">
      <c r="A554" s="5"/>
      <c r="C554" s="2"/>
    </row>
    <row r="555" spans="1:3" ht="13.8" x14ac:dyDescent="0.3">
      <c r="A555" s="5"/>
      <c r="C555" s="2"/>
    </row>
    <row r="556" spans="1:3" ht="13.8" x14ac:dyDescent="0.3">
      <c r="A556" s="5"/>
      <c r="C556" s="2"/>
    </row>
    <row r="557" spans="1:3" ht="13.8" x14ac:dyDescent="0.3">
      <c r="A557" s="5"/>
      <c r="C557" s="2"/>
    </row>
    <row r="558" spans="1:3" ht="13.8" x14ac:dyDescent="0.3">
      <c r="A558" s="5"/>
      <c r="C558" s="2"/>
    </row>
    <row r="559" spans="1:3" ht="13.8" x14ac:dyDescent="0.3">
      <c r="A559" s="5"/>
      <c r="C559" s="2"/>
    </row>
    <row r="560" spans="1:3" ht="13.8" x14ac:dyDescent="0.3">
      <c r="A560" s="5"/>
      <c r="C560" s="2"/>
    </row>
    <row r="561" spans="1:3" ht="13.8" x14ac:dyDescent="0.3">
      <c r="A561" s="5"/>
      <c r="C561" s="2"/>
    </row>
    <row r="562" spans="1:3" ht="13.8" x14ac:dyDescent="0.3">
      <c r="A562" s="5"/>
      <c r="C562" s="2"/>
    </row>
    <row r="563" spans="1:3" ht="13.8" x14ac:dyDescent="0.3">
      <c r="A563" s="5"/>
      <c r="C563" s="2"/>
    </row>
    <row r="564" spans="1:3" ht="13.8" x14ac:dyDescent="0.3">
      <c r="A564" s="5"/>
      <c r="C564" s="2"/>
    </row>
    <row r="565" spans="1:3" ht="13.8" x14ac:dyDescent="0.3">
      <c r="A565" s="5"/>
      <c r="C565" s="2"/>
    </row>
    <row r="566" spans="1:3" ht="13.8" x14ac:dyDescent="0.3">
      <c r="A566" s="5"/>
      <c r="C566" s="2"/>
    </row>
    <row r="567" spans="1:3" ht="13.8" x14ac:dyDescent="0.3">
      <c r="A567" s="5"/>
      <c r="C567" s="2"/>
    </row>
    <row r="568" spans="1:3" ht="13.8" x14ac:dyDescent="0.3">
      <c r="A568" s="5"/>
      <c r="C568" s="2"/>
    </row>
    <row r="569" spans="1:3" ht="13.8" x14ac:dyDescent="0.3">
      <c r="A569" s="5"/>
      <c r="C569" s="2"/>
    </row>
    <row r="570" spans="1:3" ht="13.8" x14ac:dyDescent="0.3">
      <c r="A570" s="5"/>
      <c r="C570" s="2"/>
    </row>
    <row r="571" spans="1:3" ht="13.8" x14ac:dyDescent="0.3">
      <c r="A571" s="5"/>
      <c r="C571" s="2"/>
    </row>
    <row r="572" spans="1:3" ht="13.8" x14ac:dyDescent="0.3">
      <c r="A572" s="5"/>
      <c r="C572" s="2"/>
    </row>
    <row r="573" spans="1:3" ht="13.8" x14ac:dyDescent="0.3">
      <c r="A573" s="5"/>
      <c r="C573" s="2"/>
    </row>
    <row r="574" spans="1:3" ht="13.8" x14ac:dyDescent="0.3">
      <c r="A574" s="5"/>
      <c r="C574" s="2"/>
    </row>
    <row r="575" spans="1:3" ht="13.8" x14ac:dyDescent="0.3">
      <c r="A575" s="5"/>
      <c r="C575" s="2"/>
    </row>
    <row r="576" spans="1:3" ht="13.8" x14ac:dyDescent="0.3">
      <c r="A576" s="5"/>
      <c r="C576" s="2"/>
    </row>
    <row r="577" spans="1:3" ht="13.8" x14ac:dyDescent="0.3">
      <c r="A577" s="5"/>
      <c r="C577" s="2"/>
    </row>
    <row r="578" spans="1:3" ht="13.8" x14ac:dyDescent="0.3">
      <c r="A578" s="5"/>
      <c r="C578" s="2"/>
    </row>
    <row r="579" spans="1:3" ht="13.8" x14ac:dyDescent="0.3">
      <c r="A579" s="5"/>
      <c r="C579" s="2"/>
    </row>
    <row r="580" spans="1:3" ht="13.8" x14ac:dyDescent="0.3">
      <c r="A580" s="5"/>
      <c r="C580" s="2"/>
    </row>
    <row r="581" spans="1:3" ht="13.8" x14ac:dyDescent="0.3">
      <c r="A581" s="5"/>
      <c r="C581" s="2"/>
    </row>
    <row r="582" spans="1:3" ht="13.8" x14ac:dyDescent="0.3">
      <c r="A582" s="5"/>
      <c r="C582" s="2"/>
    </row>
    <row r="583" spans="1:3" ht="13.8" x14ac:dyDescent="0.3">
      <c r="A583" s="5"/>
      <c r="C583" s="2"/>
    </row>
    <row r="584" spans="1:3" ht="13.8" x14ac:dyDescent="0.3">
      <c r="A584" s="5"/>
      <c r="C584" s="2"/>
    </row>
    <row r="585" spans="1:3" ht="13.8" x14ac:dyDescent="0.3">
      <c r="A585" s="5"/>
      <c r="C585" s="2"/>
    </row>
    <row r="586" spans="1:3" ht="13.8" x14ac:dyDescent="0.3">
      <c r="A586" s="5"/>
      <c r="C586" s="2"/>
    </row>
    <row r="587" spans="1:3" ht="13.8" x14ac:dyDescent="0.3">
      <c r="A587" s="5"/>
      <c r="C587" s="2"/>
    </row>
    <row r="588" spans="1:3" ht="13.8" x14ac:dyDescent="0.3">
      <c r="A588" s="5"/>
      <c r="C588" s="2"/>
    </row>
    <row r="589" spans="1:3" ht="13.8" x14ac:dyDescent="0.3">
      <c r="A589" s="5"/>
      <c r="C589" s="2"/>
    </row>
    <row r="590" spans="1:3" ht="13.8" x14ac:dyDescent="0.3">
      <c r="A590" s="5"/>
      <c r="C590" s="2"/>
    </row>
    <row r="591" spans="1:3" ht="13.8" x14ac:dyDescent="0.3">
      <c r="A591" s="5"/>
      <c r="C591" s="2"/>
    </row>
    <row r="592" spans="1:3" ht="13.8" x14ac:dyDescent="0.3">
      <c r="A592" s="5"/>
      <c r="C592" s="2"/>
    </row>
    <row r="593" spans="1:3" ht="13.8" x14ac:dyDescent="0.3">
      <c r="A593" s="5"/>
      <c r="C593" s="2"/>
    </row>
    <row r="594" spans="1:3" ht="13.8" x14ac:dyDescent="0.3">
      <c r="A594" s="5"/>
      <c r="C594" s="2"/>
    </row>
    <row r="595" spans="1:3" ht="13.8" x14ac:dyDescent="0.3">
      <c r="A595" s="5"/>
      <c r="C595" s="2"/>
    </row>
    <row r="596" spans="1:3" ht="13.8" x14ac:dyDescent="0.3">
      <c r="A596" s="5"/>
      <c r="C596" s="2"/>
    </row>
    <row r="597" spans="1:3" ht="13.8" x14ac:dyDescent="0.3">
      <c r="A597" s="5"/>
      <c r="C597" s="2"/>
    </row>
    <row r="598" spans="1:3" ht="13.8" x14ac:dyDescent="0.3">
      <c r="A598" s="5"/>
      <c r="C598" s="2"/>
    </row>
    <row r="599" spans="1:3" ht="13.8" x14ac:dyDescent="0.3">
      <c r="A599" s="5"/>
      <c r="C599" s="2"/>
    </row>
    <row r="600" spans="1:3" ht="13.8" x14ac:dyDescent="0.3">
      <c r="A600" s="5"/>
      <c r="C600" s="2"/>
    </row>
    <row r="601" spans="1:3" ht="13.8" x14ac:dyDescent="0.3">
      <c r="A601" s="5"/>
      <c r="C601" s="2"/>
    </row>
    <row r="602" spans="1:3" ht="13.8" x14ac:dyDescent="0.3">
      <c r="A602" s="5"/>
      <c r="C602" s="2"/>
    </row>
    <row r="603" spans="1:3" ht="13.8" x14ac:dyDescent="0.3">
      <c r="A603" s="5"/>
      <c r="C603" s="2"/>
    </row>
    <row r="604" spans="1:3" ht="13.8" x14ac:dyDescent="0.3">
      <c r="A604" s="5"/>
      <c r="C604" s="2"/>
    </row>
    <row r="605" spans="1:3" ht="13.8" x14ac:dyDescent="0.3">
      <c r="A605" s="5"/>
      <c r="C605" s="2"/>
    </row>
    <row r="606" spans="1:3" ht="13.8" x14ac:dyDescent="0.3">
      <c r="A606" s="5"/>
      <c r="C606" s="2"/>
    </row>
    <row r="607" spans="1:3" ht="13.8" x14ac:dyDescent="0.3">
      <c r="A607" s="5"/>
      <c r="C607" s="2"/>
    </row>
    <row r="608" spans="1:3" ht="13.8" x14ac:dyDescent="0.3">
      <c r="A608" s="5"/>
      <c r="C608" s="2"/>
    </row>
    <row r="609" spans="1:3" ht="13.8" x14ac:dyDescent="0.3">
      <c r="A609" s="5"/>
      <c r="C609" s="2"/>
    </row>
    <row r="610" spans="1:3" ht="13.8" x14ac:dyDescent="0.3">
      <c r="A610" s="5"/>
      <c r="C610" s="2"/>
    </row>
    <row r="611" spans="1:3" ht="13.8" x14ac:dyDescent="0.3">
      <c r="A611" s="5"/>
      <c r="C611" s="2"/>
    </row>
    <row r="612" spans="1:3" ht="13.8" x14ac:dyDescent="0.3">
      <c r="A612" s="5"/>
      <c r="C612" s="2"/>
    </row>
    <row r="613" spans="1:3" ht="13.8" x14ac:dyDescent="0.3">
      <c r="A613" s="5"/>
      <c r="C613" s="2"/>
    </row>
    <row r="614" spans="1:3" ht="13.8" x14ac:dyDescent="0.3">
      <c r="A614" s="5"/>
      <c r="C614" s="2"/>
    </row>
    <row r="615" spans="1:3" ht="13.8" x14ac:dyDescent="0.3">
      <c r="A615" s="5"/>
      <c r="C615" s="2"/>
    </row>
    <row r="616" spans="1:3" ht="13.8" x14ac:dyDescent="0.3">
      <c r="A616" s="5"/>
      <c r="C616" s="2"/>
    </row>
    <row r="617" spans="1:3" ht="13.8" x14ac:dyDescent="0.3">
      <c r="A617" s="5"/>
      <c r="C617" s="2"/>
    </row>
    <row r="618" spans="1:3" ht="13.8" x14ac:dyDescent="0.3">
      <c r="A618" s="5"/>
      <c r="C618" s="2"/>
    </row>
    <row r="619" spans="1:3" ht="13.8" x14ac:dyDescent="0.3">
      <c r="A619" s="5"/>
      <c r="C619" s="2"/>
    </row>
    <row r="620" spans="1:3" ht="13.8" x14ac:dyDescent="0.3">
      <c r="A620" s="5"/>
      <c r="C620" s="2"/>
    </row>
    <row r="621" spans="1:3" ht="13.8" x14ac:dyDescent="0.3">
      <c r="A621" s="5"/>
      <c r="C621" s="2"/>
    </row>
    <row r="622" spans="1:3" ht="13.8" x14ac:dyDescent="0.3">
      <c r="A622" s="5"/>
      <c r="C622" s="2"/>
    </row>
    <row r="623" spans="1:3" ht="13.8" x14ac:dyDescent="0.3">
      <c r="A623" s="5"/>
      <c r="C623" s="2"/>
    </row>
    <row r="624" spans="1:3" ht="13.8" x14ac:dyDescent="0.3">
      <c r="A624" s="5"/>
      <c r="C624" s="2"/>
    </row>
    <row r="625" spans="1:3" ht="13.8" x14ac:dyDescent="0.3">
      <c r="A625" s="5"/>
      <c r="C625" s="2"/>
    </row>
    <row r="626" spans="1:3" ht="13.8" x14ac:dyDescent="0.3">
      <c r="A626" s="5"/>
      <c r="C626" s="2"/>
    </row>
    <row r="627" spans="1:3" ht="13.8" x14ac:dyDescent="0.3">
      <c r="A627" s="5"/>
      <c r="C627" s="2"/>
    </row>
    <row r="628" spans="1:3" ht="13.8" x14ac:dyDescent="0.3">
      <c r="A628" s="5"/>
      <c r="C628" s="2"/>
    </row>
    <row r="629" spans="1:3" ht="13.8" x14ac:dyDescent="0.3">
      <c r="A629" s="5"/>
      <c r="C629" s="2"/>
    </row>
    <row r="630" spans="1:3" ht="13.8" x14ac:dyDescent="0.3">
      <c r="A630" s="5"/>
      <c r="C630" s="2"/>
    </row>
    <row r="631" spans="1:3" ht="13.8" x14ac:dyDescent="0.3">
      <c r="A631" s="5"/>
      <c r="C631" s="2"/>
    </row>
    <row r="632" spans="1:3" ht="13.8" x14ac:dyDescent="0.3">
      <c r="A632" s="5"/>
      <c r="C632" s="2"/>
    </row>
    <row r="633" spans="1:3" ht="13.8" x14ac:dyDescent="0.3">
      <c r="A633" s="5"/>
      <c r="C633" s="2"/>
    </row>
    <row r="634" spans="1:3" ht="13.8" x14ac:dyDescent="0.3">
      <c r="A634" s="5"/>
      <c r="C634" s="2"/>
    </row>
    <row r="635" spans="1:3" ht="13.8" x14ac:dyDescent="0.3">
      <c r="A635" s="5"/>
      <c r="C635" s="2"/>
    </row>
    <row r="636" spans="1:3" ht="13.8" x14ac:dyDescent="0.3">
      <c r="A636" s="5"/>
      <c r="C636" s="2"/>
    </row>
    <row r="637" spans="1:3" ht="13.8" x14ac:dyDescent="0.3">
      <c r="A637" s="5"/>
      <c r="C637" s="2"/>
    </row>
    <row r="638" spans="1:3" ht="13.8" x14ac:dyDescent="0.3">
      <c r="A638" s="5"/>
      <c r="C638" s="2"/>
    </row>
    <row r="639" spans="1:3" ht="13.8" x14ac:dyDescent="0.3">
      <c r="A639" s="5"/>
      <c r="C639" s="2"/>
    </row>
    <row r="640" spans="1:3" ht="13.8" x14ac:dyDescent="0.3">
      <c r="A640" s="5"/>
      <c r="C640" s="2"/>
    </row>
    <row r="641" spans="1:3" ht="13.8" x14ac:dyDescent="0.3">
      <c r="A641" s="5"/>
      <c r="C641" s="2"/>
    </row>
    <row r="642" spans="1:3" ht="13.8" x14ac:dyDescent="0.3">
      <c r="A642" s="5"/>
      <c r="C642" s="2"/>
    </row>
    <row r="643" spans="1:3" ht="13.8" x14ac:dyDescent="0.3">
      <c r="A643" s="5"/>
      <c r="C643" s="2"/>
    </row>
    <row r="644" spans="1:3" ht="13.8" x14ac:dyDescent="0.3">
      <c r="A644" s="5"/>
      <c r="C644" s="2"/>
    </row>
    <row r="645" spans="1:3" ht="13.8" x14ac:dyDescent="0.3">
      <c r="A645" s="5"/>
      <c r="C645" s="2"/>
    </row>
    <row r="646" spans="1:3" ht="13.8" x14ac:dyDescent="0.3">
      <c r="A646" s="5"/>
      <c r="C646" s="2"/>
    </row>
    <row r="647" spans="1:3" ht="13.8" x14ac:dyDescent="0.3">
      <c r="A647" s="5"/>
      <c r="C647" s="2"/>
    </row>
    <row r="648" spans="1:3" ht="13.8" x14ac:dyDescent="0.3">
      <c r="A648" s="5"/>
      <c r="C648" s="2"/>
    </row>
    <row r="649" spans="1:3" ht="13.8" x14ac:dyDescent="0.3">
      <c r="A649" s="5"/>
      <c r="C649" s="2"/>
    </row>
    <row r="650" spans="1:3" ht="13.8" x14ac:dyDescent="0.3">
      <c r="A650" s="5"/>
      <c r="C650" s="2"/>
    </row>
    <row r="651" spans="1:3" ht="13.8" x14ac:dyDescent="0.3">
      <c r="A651" s="5"/>
      <c r="C651" s="2"/>
    </row>
    <row r="652" spans="1:3" ht="13.8" x14ac:dyDescent="0.3">
      <c r="A652" s="5"/>
      <c r="C652" s="2"/>
    </row>
    <row r="653" spans="1:3" ht="13.8" x14ac:dyDescent="0.3">
      <c r="A653" s="5"/>
      <c r="C653" s="2"/>
    </row>
    <row r="654" spans="1:3" ht="13.8" x14ac:dyDescent="0.3">
      <c r="A654" s="5"/>
      <c r="C654" s="2"/>
    </row>
    <row r="655" spans="1:3" ht="13.8" x14ac:dyDescent="0.3">
      <c r="A655" s="5"/>
      <c r="C655" s="2"/>
    </row>
    <row r="656" spans="1:3" ht="13.8" x14ac:dyDescent="0.3">
      <c r="A656" s="5"/>
      <c r="C656" s="2"/>
    </row>
    <row r="657" spans="1:3" ht="13.8" x14ac:dyDescent="0.3">
      <c r="A657" s="5"/>
      <c r="C657" s="2"/>
    </row>
    <row r="658" spans="1:3" ht="13.8" x14ac:dyDescent="0.3">
      <c r="A658" s="5"/>
      <c r="C658" s="2"/>
    </row>
    <row r="659" spans="1:3" ht="13.8" x14ac:dyDescent="0.3">
      <c r="A659" s="5"/>
      <c r="C659" s="2"/>
    </row>
    <row r="660" spans="1:3" ht="13.8" x14ac:dyDescent="0.3">
      <c r="A660" s="5"/>
      <c r="C660" s="2"/>
    </row>
    <row r="661" spans="1:3" ht="13.8" x14ac:dyDescent="0.3">
      <c r="A661" s="5"/>
      <c r="C661" s="2"/>
    </row>
    <row r="662" spans="1:3" ht="13.8" x14ac:dyDescent="0.3">
      <c r="A662" s="5"/>
      <c r="C662" s="2"/>
    </row>
    <row r="663" spans="1:3" ht="13.8" x14ac:dyDescent="0.3">
      <c r="A663" s="5"/>
      <c r="C663" s="2"/>
    </row>
    <row r="664" spans="1:3" ht="13.8" x14ac:dyDescent="0.3">
      <c r="A664" s="5"/>
      <c r="C664" s="2"/>
    </row>
    <row r="665" spans="1:3" ht="13.8" x14ac:dyDescent="0.3">
      <c r="A665" s="5"/>
      <c r="C665" s="2"/>
    </row>
    <row r="666" spans="1:3" ht="13.8" x14ac:dyDescent="0.3">
      <c r="A666" s="5"/>
      <c r="C666" s="2"/>
    </row>
    <row r="667" spans="1:3" ht="13.8" x14ac:dyDescent="0.3">
      <c r="A667" s="5"/>
      <c r="C667" s="2"/>
    </row>
    <row r="668" spans="1:3" ht="13.8" x14ac:dyDescent="0.3">
      <c r="A668" s="5"/>
      <c r="C668" s="2"/>
    </row>
    <row r="669" spans="1:3" ht="13.8" x14ac:dyDescent="0.3">
      <c r="A669" s="5"/>
      <c r="C669" s="2"/>
    </row>
    <row r="670" spans="1:3" ht="13.8" x14ac:dyDescent="0.3">
      <c r="A670" s="5"/>
      <c r="C670" s="2"/>
    </row>
    <row r="671" spans="1:3" ht="13.8" x14ac:dyDescent="0.3">
      <c r="A671" s="5"/>
      <c r="C671" s="2"/>
    </row>
    <row r="672" spans="1:3" ht="13.8" x14ac:dyDescent="0.3">
      <c r="A672" s="5"/>
      <c r="C672" s="2"/>
    </row>
    <row r="673" spans="1:3" ht="13.8" x14ac:dyDescent="0.3">
      <c r="A673" s="5"/>
      <c r="C673" s="2"/>
    </row>
    <row r="674" spans="1:3" ht="13.8" x14ac:dyDescent="0.3">
      <c r="A674" s="5"/>
      <c r="C674" s="2"/>
    </row>
    <row r="675" spans="1:3" ht="13.8" x14ac:dyDescent="0.3">
      <c r="A675" s="5"/>
      <c r="C675" s="2"/>
    </row>
    <row r="676" spans="1:3" ht="13.8" x14ac:dyDescent="0.3">
      <c r="A676" s="5"/>
      <c r="C676" s="2"/>
    </row>
    <row r="677" spans="1:3" ht="13.8" x14ac:dyDescent="0.3">
      <c r="A677" s="5"/>
      <c r="C677" s="2"/>
    </row>
    <row r="678" spans="1:3" ht="13.8" x14ac:dyDescent="0.3">
      <c r="A678" s="5"/>
      <c r="C678" s="2"/>
    </row>
    <row r="679" spans="1:3" ht="13.8" x14ac:dyDescent="0.3">
      <c r="A679" s="5"/>
      <c r="C679" s="2"/>
    </row>
    <row r="680" spans="1:3" ht="13.8" x14ac:dyDescent="0.3">
      <c r="A680" s="5"/>
      <c r="C680" s="2"/>
    </row>
    <row r="681" spans="1:3" ht="13.8" x14ac:dyDescent="0.3">
      <c r="A681" s="5"/>
      <c r="C681" s="2"/>
    </row>
    <row r="682" spans="1:3" ht="13.8" x14ac:dyDescent="0.3">
      <c r="A682" s="5"/>
      <c r="C682" s="2"/>
    </row>
    <row r="683" spans="1:3" ht="13.8" x14ac:dyDescent="0.3">
      <c r="A683" s="5"/>
      <c r="C683" s="2"/>
    </row>
    <row r="684" spans="1:3" ht="13.8" x14ac:dyDescent="0.3">
      <c r="A684" s="5"/>
      <c r="C684" s="2"/>
    </row>
    <row r="685" spans="1:3" ht="13.8" x14ac:dyDescent="0.3">
      <c r="A685" s="5"/>
      <c r="C685" s="2"/>
    </row>
    <row r="686" spans="1:3" ht="13.8" x14ac:dyDescent="0.3">
      <c r="A686" s="5"/>
      <c r="C686" s="2"/>
    </row>
    <row r="687" spans="1:3" ht="13.8" x14ac:dyDescent="0.3">
      <c r="A687" s="5"/>
      <c r="C687" s="2"/>
    </row>
    <row r="688" spans="1:3" ht="13.8" x14ac:dyDescent="0.3">
      <c r="A688" s="5"/>
      <c r="C688" s="2"/>
    </row>
    <row r="689" spans="1:3" ht="13.8" x14ac:dyDescent="0.3">
      <c r="A689" s="5"/>
      <c r="C689" s="2"/>
    </row>
    <row r="690" spans="1:3" ht="13.8" x14ac:dyDescent="0.3">
      <c r="A690" s="5"/>
      <c r="C690" s="2"/>
    </row>
    <row r="691" spans="1:3" ht="13.8" x14ac:dyDescent="0.3">
      <c r="A691" s="5"/>
      <c r="C691" s="2"/>
    </row>
    <row r="692" spans="1:3" ht="13.8" x14ac:dyDescent="0.3">
      <c r="A692" s="5"/>
      <c r="C692" s="2"/>
    </row>
    <row r="693" spans="1:3" ht="13.8" x14ac:dyDescent="0.3">
      <c r="A693" s="5"/>
      <c r="C693" s="2"/>
    </row>
    <row r="694" spans="1:3" ht="13.8" x14ac:dyDescent="0.3">
      <c r="A694" s="5"/>
      <c r="C694" s="2"/>
    </row>
    <row r="695" spans="1:3" ht="13.8" x14ac:dyDescent="0.3">
      <c r="A695" s="5"/>
      <c r="C695" s="2"/>
    </row>
    <row r="696" spans="1:3" ht="13.8" x14ac:dyDescent="0.3">
      <c r="A696" s="5"/>
      <c r="C696" s="2"/>
    </row>
    <row r="697" spans="1:3" ht="13.8" x14ac:dyDescent="0.3">
      <c r="A697" s="5"/>
      <c r="C697" s="2"/>
    </row>
    <row r="698" spans="1:3" ht="13.8" x14ac:dyDescent="0.3">
      <c r="A698" s="5"/>
      <c r="C698" s="2"/>
    </row>
    <row r="699" spans="1:3" ht="13.8" x14ac:dyDescent="0.3">
      <c r="A699" s="5"/>
      <c r="C699" s="2"/>
    </row>
    <row r="700" spans="1:3" ht="13.8" x14ac:dyDescent="0.3">
      <c r="A700" s="5"/>
      <c r="C700" s="2"/>
    </row>
    <row r="701" spans="1:3" ht="13.8" x14ac:dyDescent="0.3">
      <c r="A701" s="5"/>
      <c r="C701" s="2"/>
    </row>
    <row r="702" spans="1:3" ht="13.8" x14ac:dyDescent="0.3">
      <c r="A702" s="5"/>
      <c r="C702" s="2"/>
    </row>
    <row r="703" spans="1:3" ht="13.8" x14ac:dyDescent="0.3">
      <c r="A703" s="5"/>
      <c r="C703" s="2"/>
    </row>
    <row r="704" spans="1:3" ht="13.8" x14ac:dyDescent="0.3">
      <c r="A704" s="5"/>
      <c r="C704" s="2"/>
    </row>
    <row r="705" spans="1:3" ht="13.8" x14ac:dyDescent="0.3">
      <c r="A705" s="5"/>
      <c r="C705" s="2"/>
    </row>
    <row r="706" spans="1:3" ht="13.8" x14ac:dyDescent="0.3">
      <c r="A706" s="5"/>
      <c r="C706" s="2"/>
    </row>
    <row r="707" spans="1:3" ht="13.8" x14ac:dyDescent="0.3">
      <c r="A707" s="5"/>
      <c r="C707" s="2"/>
    </row>
    <row r="708" spans="1:3" ht="13.8" x14ac:dyDescent="0.3">
      <c r="A708" s="5"/>
      <c r="C708" s="2"/>
    </row>
    <row r="709" spans="1:3" ht="13.8" x14ac:dyDescent="0.3">
      <c r="A709" s="5"/>
      <c r="C709" s="2"/>
    </row>
    <row r="710" spans="1:3" ht="13.8" x14ac:dyDescent="0.3">
      <c r="A710" s="5"/>
      <c r="C710" s="2"/>
    </row>
    <row r="711" spans="1:3" ht="13.8" x14ac:dyDescent="0.3">
      <c r="A711" s="5"/>
      <c r="C711" s="2"/>
    </row>
    <row r="712" spans="1:3" ht="13.8" x14ac:dyDescent="0.3">
      <c r="A712" s="5"/>
      <c r="C712" s="2"/>
    </row>
    <row r="713" spans="1:3" ht="13.8" x14ac:dyDescent="0.3">
      <c r="A713" s="5"/>
      <c r="C713" s="2"/>
    </row>
    <row r="714" spans="1:3" ht="13.8" x14ac:dyDescent="0.3">
      <c r="A714" s="5"/>
      <c r="C714" s="2"/>
    </row>
    <row r="715" spans="1:3" ht="13.8" x14ac:dyDescent="0.3">
      <c r="A715" s="5"/>
      <c r="C715" s="2"/>
    </row>
    <row r="716" spans="1:3" ht="13.8" x14ac:dyDescent="0.3">
      <c r="A716" s="5"/>
      <c r="C716" s="2"/>
    </row>
    <row r="717" spans="1:3" ht="13.8" x14ac:dyDescent="0.3">
      <c r="A717" s="5"/>
      <c r="C717" s="2"/>
    </row>
    <row r="718" spans="1:3" ht="13.8" x14ac:dyDescent="0.3">
      <c r="A718" s="5"/>
      <c r="C718" s="2"/>
    </row>
    <row r="719" spans="1:3" ht="13.8" x14ac:dyDescent="0.3">
      <c r="A719" s="5"/>
      <c r="C719" s="2"/>
    </row>
    <row r="720" spans="1:3" ht="13.8" x14ac:dyDescent="0.3">
      <c r="A720" s="5"/>
      <c r="C720" s="2"/>
    </row>
    <row r="721" spans="1:3" ht="13.8" x14ac:dyDescent="0.3">
      <c r="A721" s="5"/>
      <c r="C721" s="2"/>
    </row>
    <row r="722" spans="1:3" ht="13.8" x14ac:dyDescent="0.3">
      <c r="A722" s="5"/>
      <c r="C722" s="2"/>
    </row>
    <row r="723" spans="1:3" ht="13.8" x14ac:dyDescent="0.3">
      <c r="A723" s="5"/>
      <c r="C723" s="2"/>
    </row>
    <row r="724" spans="1:3" ht="13.8" x14ac:dyDescent="0.3">
      <c r="A724" s="5"/>
      <c r="C724" s="2"/>
    </row>
    <row r="725" spans="1:3" ht="13.8" x14ac:dyDescent="0.3">
      <c r="A725" s="5"/>
      <c r="C725" s="2"/>
    </row>
    <row r="726" spans="1:3" ht="13.8" x14ac:dyDescent="0.3">
      <c r="A726" s="5"/>
      <c r="C726" s="2"/>
    </row>
    <row r="727" spans="1:3" ht="13.8" x14ac:dyDescent="0.3">
      <c r="A727" s="5"/>
      <c r="C727" s="2"/>
    </row>
    <row r="728" spans="1:3" ht="13.8" x14ac:dyDescent="0.3">
      <c r="A728" s="5"/>
      <c r="C728" s="2"/>
    </row>
    <row r="729" spans="1:3" ht="13.8" x14ac:dyDescent="0.3">
      <c r="A729" s="5"/>
      <c r="C729" s="2"/>
    </row>
    <row r="730" spans="1:3" ht="13.8" x14ac:dyDescent="0.3">
      <c r="A730" s="5"/>
      <c r="C730" s="2"/>
    </row>
    <row r="731" spans="1:3" ht="13.8" x14ac:dyDescent="0.3">
      <c r="A731" s="5"/>
      <c r="C731" s="2"/>
    </row>
    <row r="732" spans="1:3" ht="13.8" x14ac:dyDescent="0.3">
      <c r="A732" s="5"/>
      <c r="C732" s="2"/>
    </row>
    <row r="733" spans="1:3" ht="13.8" x14ac:dyDescent="0.3">
      <c r="A733" s="5"/>
      <c r="C733" s="2"/>
    </row>
    <row r="734" spans="1:3" ht="13.8" x14ac:dyDescent="0.3">
      <c r="A734" s="5"/>
      <c r="C734" s="2"/>
    </row>
    <row r="735" spans="1:3" ht="13.8" x14ac:dyDescent="0.3">
      <c r="A735" s="5"/>
      <c r="C735" s="2"/>
    </row>
    <row r="736" spans="1:3" ht="13.8" x14ac:dyDescent="0.3">
      <c r="A736" s="5"/>
      <c r="C736" s="2"/>
    </row>
    <row r="737" spans="1:3" ht="13.8" x14ac:dyDescent="0.3">
      <c r="A737" s="5"/>
      <c r="C737" s="2"/>
    </row>
    <row r="738" spans="1:3" ht="13.8" x14ac:dyDescent="0.3">
      <c r="A738" s="5"/>
      <c r="C738" s="2"/>
    </row>
    <row r="739" spans="1:3" ht="13.8" x14ac:dyDescent="0.3">
      <c r="A739" s="5"/>
      <c r="C739" s="2"/>
    </row>
    <row r="740" spans="1:3" ht="13.8" x14ac:dyDescent="0.3">
      <c r="A740" s="5"/>
      <c r="C740" s="2"/>
    </row>
    <row r="741" spans="1:3" ht="13.8" x14ac:dyDescent="0.3">
      <c r="A741" s="5"/>
      <c r="C741" s="2"/>
    </row>
    <row r="742" spans="1:3" ht="13.8" x14ac:dyDescent="0.3">
      <c r="A742" s="5"/>
      <c r="C742" s="2"/>
    </row>
    <row r="743" spans="1:3" ht="13.8" x14ac:dyDescent="0.3">
      <c r="A743" s="5"/>
      <c r="C743" s="2"/>
    </row>
    <row r="744" spans="1:3" ht="13.8" x14ac:dyDescent="0.3">
      <c r="A744" s="5"/>
      <c r="C744" s="2"/>
    </row>
    <row r="745" spans="1:3" ht="13.8" x14ac:dyDescent="0.3">
      <c r="A745" s="5"/>
      <c r="C745" s="2"/>
    </row>
    <row r="746" spans="1:3" ht="13.8" x14ac:dyDescent="0.3">
      <c r="A746" s="5"/>
      <c r="C746" s="2"/>
    </row>
    <row r="747" spans="1:3" ht="13.8" x14ac:dyDescent="0.3">
      <c r="A747" s="5"/>
      <c r="C747" s="2"/>
    </row>
    <row r="748" spans="1:3" ht="13.8" x14ac:dyDescent="0.3">
      <c r="A748" s="5"/>
      <c r="C748" s="2"/>
    </row>
    <row r="749" spans="1:3" ht="13.8" x14ac:dyDescent="0.3">
      <c r="A749" s="5"/>
      <c r="C749" s="2"/>
    </row>
    <row r="750" spans="1:3" ht="13.8" x14ac:dyDescent="0.3">
      <c r="A750" s="5"/>
      <c r="C750" s="2"/>
    </row>
    <row r="751" spans="1:3" ht="13.8" x14ac:dyDescent="0.3">
      <c r="A751" s="5"/>
      <c r="C751" s="2"/>
    </row>
    <row r="752" spans="1:3" ht="13.8" x14ac:dyDescent="0.3">
      <c r="A752" s="5"/>
      <c r="C752" s="2"/>
    </row>
    <row r="753" spans="1:3" ht="13.8" x14ac:dyDescent="0.3">
      <c r="A753" s="5"/>
      <c r="C753" s="2"/>
    </row>
    <row r="754" spans="1:3" ht="13.8" x14ac:dyDescent="0.3">
      <c r="A754" s="5"/>
      <c r="C754" s="2"/>
    </row>
    <row r="755" spans="1:3" ht="13.8" x14ac:dyDescent="0.3">
      <c r="A755" s="5"/>
      <c r="C755" s="2"/>
    </row>
    <row r="756" spans="1:3" ht="13.8" x14ac:dyDescent="0.3">
      <c r="A756" s="5"/>
      <c r="C756" s="2"/>
    </row>
    <row r="757" spans="1:3" ht="13.8" x14ac:dyDescent="0.3">
      <c r="A757" s="5"/>
      <c r="C757" s="2"/>
    </row>
    <row r="758" spans="1:3" ht="13.8" x14ac:dyDescent="0.3">
      <c r="A758" s="5"/>
      <c r="C758" s="2"/>
    </row>
    <row r="759" spans="1:3" ht="13.8" x14ac:dyDescent="0.3">
      <c r="A759" s="5"/>
      <c r="C759" s="2"/>
    </row>
    <row r="760" spans="1:3" ht="13.8" x14ac:dyDescent="0.3">
      <c r="A760" s="5"/>
      <c r="C760" s="2"/>
    </row>
    <row r="761" spans="1:3" ht="13.8" x14ac:dyDescent="0.3">
      <c r="A761" s="5"/>
      <c r="C761" s="2"/>
    </row>
    <row r="762" spans="1:3" ht="13.8" x14ac:dyDescent="0.3">
      <c r="A762" s="5"/>
      <c r="C762" s="2"/>
    </row>
    <row r="763" spans="1:3" ht="13.8" x14ac:dyDescent="0.3">
      <c r="A763" s="5"/>
      <c r="C763" s="2"/>
    </row>
    <row r="764" spans="1:3" ht="13.8" x14ac:dyDescent="0.3">
      <c r="A764" s="5"/>
      <c r="C764" s="2"/>
    </row>
    <row r="765" spans="1:3" ht="13.8" x14ac:dyDescent="0.3">
      <c r="A765" s="5"/>
      <c r="C765" s="2"/>
    </row>
    <row r="766" spans="1:3" ht="13.8" x14ac:dyDescent="0.3">
      <c r="A766" s="5"/>
      <c r="C766" s="2"/>
    </row>
    <row r="767" spans="1:3" ht="13.8" x14ac:dyDescent="0.3">
      <c r="A767" s="5"/>
      <c r="C767" s="2"/>
    </row>
    <row r="768" spans="1:3" ht="13.8" x14ac:dyDescent="0.3">
      <c r="A768" s="5"/>
      <c r="C768" s="2"/>
    </row>
    <row r="769" spans="1:3" ht="13.8" x14ac:dyDescent="0.3">
      <c r="A769" s="5"/>
      <c r="C769" s="2"/>
    </row>
    <row r="770" spans="1:3" ht="13.8" x14ac:dyDescent="0.3">
      <c r="A770" s="5"/>
      <c r="C770" s="2"/>
    </row>
    <row r="771" spans="1:3" ht="13.8" x14ac:dyDescent="0.3">
      <c r="A771" s="5"/>
      <c r="C771" s="2"/>
    </row>
    <row r="772" spans="1:3" ht="13.8" x14ac:dyDescent="0.3">
      <c r="A772" s="5"/>
      <c r="C772" s="2"/>
    </row>
    <row r="773" spans="1:3" ht="13.8" x14ac:dyDescent="0.3">
      <c r="A773" s="5"/>
      <c r="C773" s="2"/>
    </row>
    <row r="774" spans="1:3" ht="13.8" x14ac:dyDescent="0.3">
      <c r="A774" s="5"/>
      <c r="C774" s="2"/>
    </row>
    <row r="775" spans="1:3" ht="13.8" x14ac:dyDescent="0.3">
      <c r="A775" s="5"/>
      <c r="C775" s="2"/>
    </row>
    <row r="776" spans="1:3" ht="13.8" x14ac:dyDescent="0.3">
      <c r="A776" s="5"/>
      <c r="C776" s="2"/>
    </row>
    <row r="777" spans="1:3" ht="13.8" x14ac:dyDescent="0.3">
      <c r="A777" s="5"/>
      <c r="C777" s="2"/>
    </row>
    <row r="778" spans="1:3" ht="13.8" x14ac:dyDescent="0.3">
      <c r="A778" s="5"/>
      <c r="C778" s="2"/>
    </row>
    <row r="779" spans="1:3" ht="13.8" x14ac:dyDescent="0.3">
      <c r="A779" s="5"/>
      <c r="C779" s="2"/>
    </row>
    <row r="780" spans="1:3" ht="13.8" x14ac:dyDescent="0.3">
      <c r="A780" s="5"/>
      <c r="C780" s="2"/>
    </row>
    <row r="781" spans="1:3" ht="13.8" x14ac:dyDescent="0.3">
      <c r="A781" s="5"/>
      <c r="C781" s="2"/>
    </row>
    <row r="782" spans="1:3" ht="13.8" x14ac:dyDescent="0.3">
      <c r="A782" s="5"/>
      <c r="C782" s="2"/>
    </row>
    <row r="783" spans="1:3" ht="13.8" x14ac:dyDescent="0.3">
      <c r="A783" s="5"/>
      <c r="C783" s="2"/>
    </row>
    <row r="784" spans="1:3" ht="13.8" x14ac:dyDescent="0.3">
      <c r="A784" s="5"/>
      <c r="C784" s="2"/>
    </row>
    <row r="785" spans="1:3" ht="13.8" x14ac:dyDescent="0.3">
      <c r="A785" s="5"/>
      <c r="C785" s="2"/>
    </row>
    <row r="786" spans="1:3" ht="13.8" x14ac:dyDescent="0.3">
      <c r="A786" s="5"/>
      <c r="C786" s="2"/>
    </row>
    <row r="787" spans="1:3" ht="13.8" x14ac:dyDescent="0.3">
      <c r="A787" s="5"/>
      <c r="C787" s="2"/>
    </row>
    <row r="788" spans="1:3" ht="13.8" x14ac:dyDescent="0.3">
      <c r="A788" s="5"/>
      <c r="C788" s="2"/>
    </row>
    <row r="789" spans="1:3" ht="13.8" x14ac:dyDescent="0.3">
      <c r="A789" s="5"/>
      <c r="C789" s="2"/>
    </row>
    <row r="790" spans="1:3" ht="13.8" x14ac:dyDescent="0.3">
      <c r="A790" s="5"/>
      <c r="C790" s="2"/>
    </row>
    <row r="791" spans="1:3" ht="13.8" x14ac:dyDescent="0.3">
      <c r="A791" s="5"/>
      <c r="C791" s="2"/>
    </row>
    <row r="792" spans="1:3" ht="13.8" x14ac:dyDescent="0.3">
      <c r="A792" s="5"/>
      <c r="C792" s="2"/>
    </row>
    <row r="793" spans="1:3" ht="13.8" x14ac:dyDescent="0.3">
      <c r="A793" s="5"/>
      <c r="C793" s="2"/>
    </row>
    <row r="794" spans="1:3" ht="13.8" x14ac:dyDescent="0.3">
      <c r="A794" s="5"/>
      <c r="C794" s="2"/>
    </row>
    <row r="795" spans="1:3" ht="13.8" x14ac:dyDescent="0.3">
      <c r="A795" s="5"/>
      <c r="C795" s="2"/>
    </row>
    <row r="796" spans="1:3" ht="13.8" x14ac:dyDescent="0.3">
      <c r="A796" s="5"/>
      <c r="C796" s="2"/>
    </row>
    <row r="797" spans="1:3" ht="13.8" x14ac:dyDescent="0.3">
      <c r="A797" s="5"/>
      <c r="C797" s="2"/>
    </row>
    <row r="798" spans="1:3" ht="13.8" x14ac:dyDescent="0.3">
      <c r="A798" s="5"/>
      <c r="C798" s="2"/>
    </row>
    <row r="799" spans="1:3" ht="13.8" x14ac:dyDescent="0.3">
      <c r="A799" s="5"/>
      <c r="C799" s="2"/>
    </row>
    <row r="800" spans="1:3" ht="13.8" x14ac:dyDescent="0.3">
      <c r="A800" s="5"/>
      <c r="C800" s="2"/>
    </row>
    <row r="801" spans="1:3" ht="13.8" x14ac:dyDescent="0.3">
      <c r="A801" s="5"/>
      <c r="C801" s="2"/>
    </row>
    <row r="802" spans="1:3" ht="13.8" x14ac:dyDescent="0.3">
      <c r="A802" s="5"/>
      <c r="C802" s="2"/>
    </row>
    <row r="803" spans="1:3" ht="13.8" x14ac:dyDescent="0.3">
      <c r="A803" s="5"/>
      <c r="C803" s="2"/>
    </row>
    <row r="804" spans="1:3" ht="13.8" x14ac:dyDescent="0.3">
      <c r="A804" s="5"/>
      <c r="C804" s="2"/>
    </row>
    <row r="805" spans="1:3" ht="13.8" x14ac:dyDescent="0.3">
      <c r="A805" s="5"/>
      <c r="C805" s="2"/>
    </row>
    <row r="806" spans="1:3" ht="13.8" x14ac:dyDescent="0.3">
      <c r="A806" s="5"/>
      <c r="C806" s="2"/>
    </row>
    <row r="807" spans="1:3" ht="13.8" x14ac:dyDescent="0.3">
      <c r="A807" s="5"/>
      <c r="C807" s="2"/>
    </row>
    <row r="808" spans="1:3" ht="13.8" x14ac:dyDescent="0.3">
      <c r="A808" s="5"/>
      <c r="C808" s="2"/>
    </row>
    <row r="809" spans="1:3" ht="13.8" x14ac:dyDescent="0.3">
      <c r="A809" s="5"/>
      <c r="C809" s="2"/>
    </row>
    <row r="810" spans="1:3" ht="13.8" x14ac:dyDescent="0.3">
      <c r="A810" s="5"/>
      <c r="C810" s="2"/>
    </row>
    <row r="811" spans="1:3" ht="13.8" x14ac:dyDescent="0.3">
      <c r="A811" s="5"/>
      <c r="C811" s="2"/>
    </row>
    <row r="812" spans="1:3" ht="13.8" x14ac:dyDescent="0.3">
      <c r="A812" s="5"/>
      <c r="C812" s="2"/>
    </row>
    <row r="813" spans="1:3" ht="13.8" x14ac:dyDescent="0.3">
      <c r="A813" s="5"/>
      <c r="C813" s="2"/>
    </row>
    <row r="814" spans="1:3" ht="13.8" x14ac:dyDescent="0.3">
      <c r="A814" s="5"/>
      <c r="C814" s="2"/>
    </row>
    <row r="815" spans="1:3" ht="13.8" x14ac:dyDescent="0.3">
      <c r="A815" s="5"/>
      <c r="C815" s="2"/>
    </row>
    <row r="816" spans="1:3" ht="13.8" x14ac:dyDescent="0.3">
      <c r="A816" s="5"/>
      <c r="C816" s="2"/>
    </row>
    <row r="817" spans="1:3" ht="13.8" x14ac:dyDescent="0.3">
      <c r="A817" s="5"/>
      <c r="C817" s="2"/>
    </row>
    <row r="818" spans="1:3" ht="13.8" x14ac:dyDescent="0.3">
      <c r="A818" s="5"/>
      <c r="C818" s="2"/>
    </row>
    <row r="819" spans="1:3" ht="13.8" x14ac:dyDescent="0.3">
      <c r="A819" s="5"/>
      <c r="C819" s="2"/>
    </row>
    <row r="820" spans="1:3" ht="13.8" x14ac:dyDescent="0.3">
      <c r="A820" s="5"/>
      <c r="C820" s="2"/>
    </row>
    <row r="821" spans="1:3" ht="13.8" x14ac:dyDescent="0.3">
      <c r="A821" s="5"/>
      <c r="C821" s="2"/>
    </row>
    <row r="822" spans="1:3" ht="13.8" x14ac:dyDescent="0.3">
      <c r="A822" s="5"/>
      <c r="C822" s="2"/>
    </row>
    <row r="823" spans="1:3" ht="13.8" x14ac:dyDescent="0.3">
      <c r="A823" s="5"/>
      <c r="C823" s="2"/>
    </row>
    <row r="824" spans="1:3" ht="13.8" x14ac:dyDescent="0.3">
      <c r="A824" s="5"/>
      <c r="C824" s="2"/>
    </row>
    <row r="825" spans="1:3" ht="13.8" x14ac:dyDescent="0.3">
      <c r="A825" s="5"/>
      <c r="C825" s="2"/>
    </row>
    <row r="826" spans="1:3" ht="13.8" x14ac:dyDescent="0.3">
      <c r="A826" s="5"/>
      <c r="C826" s="2"/>
    </row>
    <row r="827" spans="1:3" ht="13.8" x14ac:dyDescent="0.3">
      <c r="A827" s="5"/>
      <c r="C827" s="2"/>
    </row>
    <row r="828" spans="1:3" ht="13.8" x14ac:dyDescent="0.3">
      <c r="A828" s="5"/>
      <c r="C828" s="2"/>
    </row>
    <row r="829" spans="1:3" ht="13.8" x14ac:dyDescent="0.3">
      <c r="A829" s="5"/>
      <c r="C829" s="2"/>
    </row>
    <row r="830" spans="1:3" ht="13.8" x14ac:dyDescent="0.3">
      <c r="A830" s="5"/>
      <c r="C830" s="2"/>
    </row>
    <row r="831" spans="1:3" ht="13.8" x14ac:dyDescent="0.3">
      <c r="A831" s="5"/>
      <c r="C831" s="2"/>
    </row>
    <row r="832" spans="1:3" ht="13.8" x14ac:dyDescent="0.3">
      <c r="A832" s="5"/>
      <c r="C832" s="2"/>
    </row>
    <row r="833" spans="1:3" ht="13.8" x14ac:dyDescent="0.3">
      <c r="A833" s="5"/>
      <c r="C833" s="2"/>
    </row>
    <row r="834" spans="1:3" ht="13.8" x14ac:dyDescent="0.3">
      <c r="A834" s="5"/>
      <c r="C834" s="2"/>
    </row>
    <row r="835" spans="1:3" ht="13.8" x14ac:dyDescent="0.3">
      <c r="A835" s="5"/>
      <c r="C835" s="2"/>
    </row>
    <row r="836" spans="1:3" ht="13.8" x14ac:dyDescent="0.3">
      <c r="A836" s="5"/>
      <c r="C836" s="2"/>
    </row>
    <row r="837" spans="1:3" ht="13.8" x14ac:dyDescent="0.3">
      <c r="A837" s="5"/>
      <c r="C837" s="2"/>
    </row>
    <row r="838" spans="1:3" ht="13.8" x14ac:dyDescent="0.3">
      <c r="A838" s="5"/>
      <c r="C838" s="2"/>
    </row>
    <row r="839" spans="1:3" ht="13.8" x14ac:dyDescent="0.3">
      <c r="A839" s="5"/>
      <c r="C839" s="2"/>
    </row>
    <row r="840" spans="1:3" ht="13.8" x14ac:dyDescent="0.3">
      <c r="A840" s="5"/>
      <c r="C840" s="2"/>
    </row>
    <row r="841" spans="1:3" ht="13.8" x14ac:dyDescent="0.3">
      <c r="A841" s="5"/>
      <c r="C841" s="2"/>
    </row>
    <row r="842" spans="1:3" ht="13.8" x14ac:dyDescent="0.3">
      <c r="A842" s="5"/>
      <c r="C842" s="2"/>
    </row>
    <row r="843" spans="1:3" ht="13.8" x14ac:dyDescent="0.3">
      <c r="A843" s="5"/>
      <c r="C843" s="2"/>
    </row>
    <row r="844" spans="1:3" ht="13.8" x14ac:dyDescent="0.3">
      <c r="A844" s="5"/>
      <c r="C844" s="2"/>
    </row>
    <row r="845" spans="1:3" ht="13.8" x14ac:dyDescent="0.3">
      <c r="A845" s="5"/>
      <c r="C845" s="2"/>
    </row>
    <row r="846" spans="1:3" ht="13.8" x14ac:dyDescent="0.3">
      <c r="A846" s="5"/>
      <c r="C846" s="2"/>
    </row>
    <row r="847" spans="1:3" ht="13.8" x14ac:dyDescent="0.3">
      <c r="A847" s="5"/>
      <c r="C847" s="2"/>
    </row>
    <row r="848" spans="1:3" ht="13.8" x14ac:dyDescent="0.3">
      <c r="A848" s="5"/>
      <c r="C848" s="2"/>
    </row>
    <row r="849" spans="1:3" ht="13.8" x14ac:dyDescent="0.3">
      <c r="A849" s="5"/>
      <c r="C849" s="2"/>
    </row>
    <row r="850" spans="1:3" ht="13.8" x14ac:dyDescent="0.3">
      <c r="A850" s="5"/>
      <c r="C850" s="2"/>
    </row>
    <row r="851" spans="1:3" ht="13.8" x14ac:dyDescent="0.3">
      <c r="A851" s="5"/>
      <c r="C851" s="2"/>
    </row>
    <row r="852" spans="1:3" ht="13.8" x14ac:dyDescent="0.3">
      <c r="A852" s="5"/>
      <c r="C852" s="2"/>
    </row>
    <row r="853" spans="1:3" ht="13.8" x14ac:dyDescent="0.3">
      <c r="A853" s="5"/>
      <c r="C853" s="2"/>
    </row>
    <row r="854" spans="1:3" ht="13.8" x14ac:dyDescent="0.3">
      <c r="A854" s="5"/>
      <c r="C854" s="2"/>
    </row>
    <row r="855" spans="1:3" ht="13.8" x14ac:dyDescent="0.3">
      <c r="A855" s="5"/>
      <c r="C855" s="2"/>
    </row>
    <row r="856" spans="1:3" ht="13.8" x14ac:dyDescent="0.3">
      <c r="A856" s="5"/>
      <c r="C856" s="2"/>
    </row>
    <row r="857" spans="1:3" ht="13.8" x14ac:dyDescent="0.3">
      <c r="A857" s="5"/>
      <c r="C857" s="2"/>
    </row>
    <row r="858" spans="1:3" ht="13.8" x14ac:dyDescent="0.3">
      <c r="A858" s="5"/>
      <c r="C858" s="2"/>
    </row>
    <row r="859" spans="1:3" ht="13.8" x14ac:dyDescent="0.3">
      <c r="A859" s="5"/>
      <c r="C859" s="2"/>
    </row>
    <row r="860" spans="1:3" ht="13.8" x14ac:dyDescent="0.3">
      <c r="A860" s="5"/>
      <c r="C860" s="2"/>
    </row>
    <row r="861" spans="1:3" ht="13.8" x14ac:dyDescent="0.3">
      <c r="A861" s="5"/>
      <c r="C861" s="2"/>
    </row>
    <row r="862" spans="1:3" ht="13.8" x14ac:dyDescent="0.3">
      <c r="A862" s="5"/>
      <c r="C862" s="2"/>
    </row>
    <row r="863" spans="1:3" ht="13.8" x14ac:dyDescent="0.3">
      <c r="A863" s="5"/>
      <c r="C863" s="2"/>
    </row>
    <row r="864" spans="1:3" ht="13.8" x14ac:dyDescent="0.3">
      <c r="A864" s="5"/>
      <c r="C864" s="2"/>
    </row>
    <row r="865" spans="1:3" ht="13.8" x14ac:dyDescent="0.3">
      <c r="A865" s="5"/>
      <c r="C865" s="2"/>
    </row>
    <row r="866" spans="1:3" ht="13.8" x14ac:dyDescent="0.3">
      <c r="A866" s="5"/>
      <c r="C866" s="2"/>
    </row>
    <row r="867" spans="1:3" ht="13.8" x14ac:dyDescent="0.3">
      <c r="A867" s="5"/>
      <c r="C867" s="2"/>
    </row>
    <row r="868" spans="1:3" ht="13.8" x14ac:dyDescent="0.3">
      <c r="A868" s="5"/>
      <c r="C868" s="2"/>
    </row>
    <row r="869" spans="1:3" ht="13.8" x14ac:dyDescent="0.3">
      <c r="A869" s="5"/>
      <c r="C869" s="2"/>
    </row>
    <row r="870" spans="1:3" ht="13.8" x14ac:dyDescent="0.3">
      <c r="A870" s="5"/>
      <c r="C870" s="2"/>
    </row>
    <row r="871" spans="1:3" ht="13.8" x14ac:dyDescent="0.3">
      <c r="A871" s="5"/>
      <c r="C871" s="2"/>
    </row>
    <row r="872" spans="1:3" ht="13.8" x14ac:dyDescent="0.3">
      <c r="A872" s="5"/>
      <c r="C872" s="2"/>
    </row>
    <row r="873" spans="1:3" ht="13.8" x14ac:dyDescent="0.3">
      <c r="A873" s="5"/>
      <c r="C873" s="2"/>
    </row>
    <row r="874" spans="1:3" ht="13.8" x14ac:dyDescent="0.3">
      <c r="A874" s="5"/>
      <c r="C874" s="2"/>
    </row>
    <row r="875" spans="1:3" ht="13.8" x14ac:dyDescent="0.3">
      <c r="A875" s="5"/>
      <c r="C875" s="2"/>
    </row>
    <row r="876" spans="1:3" ht="13.8" x14ac:dyDescent="0.3">
      <c r="A876" s="5"/>
      <c r="C876" s="2"/>
    </row>
    <row r="877" spans="1:3" ht="13.8" x14ac:dyDescent="0.3">
      <c r="A877" s="5"/>
      <c r="C877" s="2"/>
    </row>
    <row r="878" spans="1:3" ht="13.8" x14ac:dyDescent="0.3">
      <c r="A878" s="5"/>
      <c r="C878" s="2"/>
    </row>
    <row r="879" spans="1:3" ht="13.8" x14ac:dyDescent="0.3">
      <c r="A879" s="5"/>
      <c r="C879" s="2"/>
    </row>
    <row r="880" spans="1:3" ht="13.8" x14ac:dyDescent="0.3">
      <c r="A880" s="5"/>
      <c r="C880" s="2"/>
    </row>
    <row r="881" spans="1:3" ht="13.8" x14ac:dyDescent="0.3">
      <c r="A881" s="5"/>
      <c r="C881" s="2"/>
    </row>
    <row r="882" spans="1:3" ht="13.8" x14ac:dyDescent="0.3">
      <c r="A882" s="5"/>
      <c r="C882" s="2"/>
    </row>
    <row r="883" spans="1:3" ht="13.8" x14ac:dyDescent="0.3">
      <c r="A883" s="5"/>
      <c r="C883" s="2"/>
    </row>
    <row r="884" spans="1:3" ht="13.8" x14ac:dyDescent="0.3">
      <c r="A884" s="5"/>
      <c r="C884" s="2"/>
    </row>
    <row r="885" spans="1:3" ht="13.8" x14ac:dyDescent="0.3">
      <c r="A885" s="5"/>
      <c r="C885" s="2"/>
    </row>
    <row r="886" spans="1:3" ht="13.8" x14ac:dyDescent="0.3">
      <c r="A886" s="5"/>
      <c r="C886" s="2"/>
    </row>
    <row r="887" spans="1:3" ht="13.8" x14ac:dyDescent="0.3">
      <c r="A887" s="5"/>
      <c r="C887" s="2"/>
    </row>
    <row r="888" spans="1:3" ht="13.8" x14ac:dyDescent="0.3">
      <c r="A888" s="5"/>
      <c r="C888" s="2"/>
    </row>
    <row r="889" spans="1:3" ht="13.8" x14ac:dyDescent="0.3">
      <c r="A889" s="5"/>
      <c r="C889" s="2"/>
    </row>
    <row r="890" spans="1:3" ht="13.8" x14ac:dyDescent="0.3">
      <c r="A890" s="5"/>
      <c r="C890" s="2"/>
    </row>
    <row r="891" spans="1:3" ht="13.8" x14ac:dyDescent="0.3">
      <c r="A891" s="5"/>
      <c r="C891" s="2"/>
    </row>
    <row r="892" spans="1:3" ht="13.8" x14ac:dyDescent="0.3">
      <c r="A892" s="5"/>
      <c r="C892" s="2"/>
    </row>
    <row r="893" spans="1:3" ht="13.8" x14ac:dyDescent="0.3">
      <c r="A893" s="5"/>
      <c r="C893" s="2"/>
    </row>
    <row r="894" spans="1:3" ht="13.8" x14ac:dyDescent="0.3">
      <c r="A894" s="5"/>
      <c r="C894" s="2"/>
    </row>
    <row r="895" spans="1:3" ht="13.8" x14ac:dyDescent="0.3">
      <c r="A895" s="5"/>
      <c r="C895" s="2"/>
    </row>
    <row r="896" spans="1:3" ht="13.8" x14ac:dyDescent="0.3">
      <c r="A896" s="5"/>
      <c r="C896" s="2"/>
    </row>
    <row r="897" spans="1:3" ht="13.8" x14ac:dyDescent="0.3">
      <c r="A897" s="5"/>
      <c r="C897" s="2"/>
    </row>
    <row r="898" spans="1:3" ht="13.8" x14ac:dyDescent="0.3">
      <c r="A898" s="5"/>
      <c r="C898" s="2"/>
    </row>
    <row r="899" spans="1:3" ht="13.8" x14ac:dyDescent="0.3">
      <c r="A899" s="5"/>
      <c r="C899" s="2"/>
    </row>
    <row r="900" spans="1:3" ht="13.8" x14ac:dyDescent="0.3">
      <c r="A900" s="5"/>
      <c r="C900" s="2"/>
    </row>
    <row r="901" spans="1:3" ht="13.8" x14ac:dyDescent="0.3">
      <c r="A901" s="5"/>
      <c r="C901" s="2"/>
    </row>
    <row r="902" spans="1:3" ht="13.8" x14ac:dyDescent="0.3">
      <c r="A902" s="5"/>
      <c r="C902" s="2"/>
    </row>
    <row r="903" spans="1:3" ht="13.8" x14ac:dyDescent="0.3">
      <c r="A903" s="5"/>
      <c r="C903" s="2"/>
    </row>
    <row r="904" spans="1:3" ht="13.8" x14ac:dyDescent="0.3">
      <c r="A904" s="5"/>
      <c r="C904" s="2"/>
    </row>
    <row r="905" spans="1:3" ht="13.8" x14ac:dyDescent="0.3">
      <c r="A905" s="5"/>
      <c r="C905" s="2"/>
    </row>
    <row r="906" spans="1:3" ht="13.8" x14ac:dyDescent="0.3">
      <c r="A906" s="5"/>
      <c r="C906" s="2"/>
    </row>
    <row r="907" spans="1:3" ht="13.8" x14ac:dyDescent="0.3">
      <c r="A907" s="5"/>
      <c r="C907" s="2"/>
    </row>
    <row r="908" spans="1:3" ht="13.8" x14ac:dyDescent="0.3">
      <c r="A908" s="5"/>
      <c r="C908" s="2"/>
    </row>
    <row r="909" spans="1:3" ht="13.8" x14ac:dyDescent="0.3">
      <c r="A909" s="5"/>
      <c r="C909" s="2"/>
    </row>
    <row r="910" spans="1:3" ht="13.8" x14ac:dyDescent="0.3">
      <c r="A910" s="5"/>
      <c r="C910" s="2"/>
    </row>
    <row r="911" spans="1:3" ht="13.8" x14ac:dyDescent="0.3">
      <c r="A911" s="5"/>
      <c r="C911" s="2"/>
    </row>
    <row r="912" spans="1:3" ht="13.8" x14ac:dyDescent="0.3">
      <c r="A912" s="5"/>
      <c r="C912" s="2"/>
    </row>
    <row r="913" spans="1:3" ht="13.8" x14ac:dyDescent="0.3">
      <c r="A913" s="5"/>
      <c r="C913" s="2"/>
    </row>
    <row r="914" spans="1:3" ht="13.8" x14ac:dyDescent="0.3">
      <c r="A914" s="5"/>
      <c r="C914" s="2"/>
    </row>
    <row r="915" spans="1:3" ht="13.8" x14ac:dyDescent="0.3">
      <c r="A915" s="5"/>
      <c r="C915" s="2"/>
    </row>
    <row r="916" spans="1:3" ht="13.8" x14ac:dyDescent="0.3">
      <c r="A916" s="5"/>
      <c r="C916" s="2"/>
    </row>
    <row r="917" spans="1:3" ht="13.8" x14ac:dyDescent="0.3">
      <c r="A917" s="5"/>
      <c r="C917" s="2"/>
    </row>
    <row r="918" spans="1:3" ht="13.8" x14ac:dyDescent="0.3">
      <c r="A918" s="5"/>
      <c r="C918" s="2"/>
    </row>
    <row r="919" spans="1:3" ht="13.8" x14ac:dyDescent="0.3">
      <c r="A919" s="5"/>
      <c r="C919" s="2"/>
    </row>
    <row r="920" spans="1:3" ht="13.8" x14ac:dyDescent="0.3">
      <c r="A920" s="5"/>
      <c r="C920" s="2"/>
    </row>
    <row r="921" spans="1:3" ht="13.8" x14ac:dyDescent="0.3">
      <c r="A921" s="5"/>
      <c r="C921" s="2"/>
    </row>
    <row r="922" spans="1:3" ht="13.8" x14ac:dyDescent="0.3">
      <c r="A922" s="5"/>
      <c r="C922" s="2"/>
    </row>
    <row r="923" spans="1:3" ht="13.8" x14ac:dyDescent="0.3">
      <c r="A923" s="5"/>
      <c r="C923" s="2"/>
    </row>
    <row r="924" spans="1:3" ht="13.8" x14ac:dyDescent="0.3">
      <c r="A924" s="5"/>
      <c r="C924" s="2"/>
    </row>
    <row r="925" spans="1:3" ht="13.8" x14ac:dyDescent="0.3">
      <c r="A925" s="5"/>
      <c r="C925" s="2"/>
    </row>
    <row r="926" spans="1:3" ht="13.8" x14ac:dyDescent="0.3">
      <c r="A926" s="5"/>
      <c r="C926" s="2"/>
    </row>
    <row r="927" spans="1:3" ht="13.8" x14ac:dyDescent="0.3">
      <c r="A927" s="5"/>
      <c r="C927" s="2"/>
    </row>
    <row r="928" spans="1:3" ht="13.8" x14ac:dyDescent="0.3">
      <c r="A928" s="5"/>
      <c r="C928" s="2"/>
    </row>
    <row r="929" spans="1:3" ht="13.8" x14ac:dyDescent="0.3">
      <c r="A929" s="5"/>
      <c r="C929" s="2"/>
    </row>
    <row r="930" spans="1:3" ht="13.8" x14ac:dyDescent="0.3">
      <c r="A930" s="5"/>
      <c r="C930" s="2"/>
    </row>
    <row r="931" spans="1:3" ht="13.8" x14ac:dyDescent="0.3">
      <c r="A931" s="5"/>
      <c r="C931" s="2"/>
    </row>
    <row r="932" spans="1:3" ht="13.8" x14ac:dyDescent="0.3">
      <c r="A932" s="5"/>
      <c r="C932" s="2"/>
    </row>
    <row r="933" spans="1:3" ht="13.8" x14ac:dyDescent="0.3">
      <c r="A933" s="5"/>
      <c r="C933" s="2"/>
    </row>
    <row r="934" spans="1:3" ht="13.8" x14ac:dyDescent="0.3">
      <c r="A934" s="5"/>
      <c r="C934" s="2"/>
    </row>
    <row r="935" spans="1:3" ht="13.8" x14ac:dyDescent="0.3">
      <c r="A935" s="5"/>
      <c r="C935" s="2"/>
    </row>
    <row r="936" spans="1:3" ht="13.8" x14ac:dyDescent="0.3">
      <c r="A936" s="5"/>
      <c r="C936" s="2"/>
    </row>
    <row r="937" spans="1:3" ht="13.8" x14ac:dyDescent="0.3">
      <c r="A937" s="5"/>
      <c r="C937" s="2"/>
    </row>
    <row r="938" spans="1:3" ht="13.8" x14ac:dyDescent="0.3">
      <c r="A938" s="5"/>
      <c r="C938" s="2"/>
    </row>
    <row r="939" spans="1:3" ht="13.8" x14ac:dyDescent="0.3">
      <c r="A939" s="5"/>
      <c r="C939" s="2"/>
    </row>
    <row r="940" spans="1:3" ht="13.8" x14ac:dyDescent="0.3">
      <c r="A940" s="5"/>
      <c r="C940" s="2"/>
    </row>
    <row r="941" spans="1:3" ht="13.8" x14ac:dyDescent="0.3">
      <c r="A941" s="5"/>
      <c r="C941" s="2"/>
    </row>
    <row r="942" spans="1:3" ht="13.8" x14ac:dyDescent="0.3">
      <c r="A942" s="5"/>
      <c r="C942" s="2"/>
    </row>
    <row r="943" spans="1:3" ht="13.8" x14ac:dyDescent="0.3">
      <c r="A943" s="5"/>
      <c r="C943" s="2"/>
    </row>
    <row r="944" spans="1:3" ht="13.8" x14ac:dyDescent="0.3">
      <c r="A944" s="5"/>
      <c r="C944" s="2"/>
    </row>
    <row r="945" spans="1:3" ht="13.8" x14ac:dyDescent="0.3">
      <c r="A945" s="5"/>
      <c r="C945" s="2"/>
    </row>
    <row r="946" spans="1:3" ht="13.8" x14ac:dyDescent="0.3">
      <c r="A946" s="5"/>
      <c r="C946" s="2"/>
    </row>
    <row r="947" spans="1:3" ht="13.8" x14ac:dyDescent="0.3">
      <c r="A947" s="5"/>
      <c r="C947" s="2"/>
    </row>
    <row r="948" spans="1:3" ht="13.8" x14ac:dyDescent="0.3">
      <c r="A948" s="5"/>
      <c r="C948" s="2"/>
    </row>
    <row r="949" spans="1:3" ht="13.8" x14ac:dyDescent="0.3">
      <c r="A949" s="5"/>
      <c r="C949" s="2"/>
    </row>
    <row r="950" spans="1:3" ht="13.8" x14ac:dyDescent="0.3">
      <c r="A950" s="5"/>
      <c r="C950" s="2"/>
    </row>
    <row r="951" spans="1:3" ht="13.8" x14ac:dyDescent="0.3">
      <c r="A951" s="5"/>
      <c r="C951" s="2"/>
    </row>
    <row r="952" spans="1:3" ht="13.8" x14ac:dyDescent="0.3">
      <c r="A952" s="5"/>
      <c r="C952" s="2"/>
    </row>
    <row r="953" spans="1:3" ht="13.8" x14ac:dyDescent="0.3">
      <c r="A953" s="5"/>
      <c r="C953" s="2"/>
    </row>
    <row r="954" spans="1:3" ht="13.8" x14ac:dyDescent="0.3">
      <c r="A954" s="5"/>
      <c r="C954" s="2"/>
    </row>
    <row r="955" spans="1:3" ht="13.8" x14ac:dyDescent="0.3">
      <c r="A955" s="5"/>
      <c r="C955" s="2"/>
    </row>
    <row r="956" spans="1:3" ht="13.8" x14ac:dyDescent="0.3">
      <c r="A956" s="5"/>
      <c r="C956" s="2"/>
    </row>
    <row r="957" spans="1:3" ht="13.8" x14ac:dyDescent="0.3">
      <c r="A957" s="5"/>
      <c r="C957" s="2"/>
    </row>
    <row r="958" spans="1:3" ht="13.8" x14ac:dyDescent="0.3">
      <c r="A958" s="5"/>
      <c r="C958" s="2"/>
    </row>
    <row r="959" spans="1:3" ht="13.8" x14ac:dyDescent="0.3">
      <c r="A959" s="5"/>
      <c r="C959" s="2"/>
    </row>
    <row r="960" spans="1:3" ht="13.8" x14ac:dyDescent="0.3">
      <c r="A960" s="5"/>
      <c r="C960" s="2"/>
    </row>
    <row r="961" spans="1:3" ht="13.8" x14ac:dyDescent="0.3">
      <c r="A961" s="5"/>
      <c r="C961" s="2"/>
    </row>
    <row r="962" spans="1:3" ht="13.8" x14ac:dyDescent="0.3">
      <c r="A962" s="5"/>
      <c r="C962" s="2"/>
    </row>
    <row r="963" spans="1:3" ht="13.8" x14ac:dyDescent="0.3">
      <c r="A963" s="5"/>
      <c r="C963" s="2"/>
    </row>
    <row r="964" spans="1:3" ht="13.8" x14ac:dyDescent="0.3">
      <c r="A964" s="5"/>
      <c r="C964" s="2"/>
    </row>
    <row r="965" spans="1:3" ht="13.8" x14ac:dyDescent="0.3">
      <c r="A965" s="5"/>
      <c r="C965" s="2"/>
    </row>
    <row r="966" spans="1:3" ht="13.8" x14ac:dyDescent="0.3">
      <c r="A966" s="5"/>
      <c r="C966" s="2"/>
    </row>
    <row r="967" spans="1:3" ht="13.8" x14ac:dyDescent="0.3">
      <c r="A967" s="5"/>
      <c r="C967" s="2"/>
    </row>
    <row r="968" spans="1:3" ht="13.8" x14ac:dyDescent="0.3">
      <c r="A968" s="5"/>
      <c r="C968" s="2"/>
    </row>
    <row r="969" spans="1:3" ht="13.8" x14ac:dyDescent="0.3">
      <c r="A969" s="5"/>
      <c r="C969" s="2"/>
    </row>
    <row r="970" spans="1:3" ht="13.8" x14ac:dyDescent="0.3">
      <c r="A970" s="5"/>
      <c r="C970" s="2"/>
    </row>
    <row r="971" spans="1:3" ht="13.8" x14ac:dyDescent="0.3">
      <c r="A971" s="5"/>
      <c r="C971" s="2"/>
    </row>
    <row r="972" spans="1:3" ht="13.8" x14ac:dyDescent="0.3">
      <c r="A972" s="5"/>
      <c r="C972" s="2"/>
    </row>
    <row r="973" spans="1:3" ht="13.8" x14ac:dyDescent="0.3">
      <c r="A973" s="5"/>
      <c r="C973" s="2"/>
    </row>
    <row r="974" spans="1:3" ht="13.8" x14ac:dyDescent="0.3">
      <c r="A974" s="5"/>
      <c r="C974" s="2"/>
    </row>
    <row r="975" spans="1:3" ht="13.8" x14ac:dyDescent="0.3">
      <c r="A975" s="5"/>
      <c r="C975" s="2"/>
    </row>
    <row r="976" spans="1:3" ht="13.8" x14ac:dyDescent="0.3">
      <c r="A976" s="5"/>
      <c r="C976" s="2"/>
    </row>
    <row r="977" spans="1:3" ht="13.8" x14ac:dyDescent="0.3">
      <c r="A977" s="5"/>
      <c r="C977" s="2"/>
    </row>
    <row r="978" spans="1:3" ht="13.8" x14ac:dyDescent="0.3">
      <c r="A978" s="5"/>
      <c r="C978" s="2"/>
    </row>
    <row r="979" spans="1:3" ht="13.8" x14ac:dyDescent="0.3">
      <c r="A979" s="5"/>
      <c r="C979" s="2"/>
    </row>
    <row r="980" spans="1:3" ht="13.8" x14ac:dyDescent="0.3">
      <c r="A980" s="5"/>
      <c r="C980" s="2"/>
    </row>
    <row r="981" spans="1:3" ht="13.8" x14ac:dyDescent="0.3">
      <c r="A981" s="5"/>
      <c r="C981" s="2"/>
    </row>
    <row r="982" spans="1:3" ht="13.8" x14ac:dyDescent="0.3">
      <c r="A982" s="5"/>
      <c r="C982" s="2"/>
    </row>
    <row r="983" spans="1:3" ht="13.8" x14ac:dyDescent="0.3">
      <c r="A983" s="5"/>
      <c r="C983" s="2"/>
    </row>
    <row r="984" spans="1:3" ht="13.8" x14ac:dyDescent="0.3">
      <c r="A984" s="5"/>
      <c r="C984" s="2"/>
    </row>
    <row r="985" spans="1:3" ht="13.8" x14ac:dyDescent="0.3">
      <c r="A985" s="5"/>
      <c r="C985" s="2"/>
    </row>
    <row r="986" spans="1:3" ht="13.8" x14ac:dyDescent="0.3">
      <c r="A986" s="5"/>
      <c r="C986" s="2"/>
    </row>
    <row r="987" spans="1:3" ht="13.8" x14ac:dyDescent="0.3">
      <c r="A987" s="5"/>
      <c r="C987" s="2"/>
    </row>
    <row r="988" spans="1:3" ht="13.8" x14ac:dyDescent="0.3">
      <c r="A988" s="5"/>
      <c r="C988" s="2"/>
    </row>
    <row r="989" spans="1:3" ht="13.8" x14ac:dyDescent="0.3">
      <c r="A989" s="5"/>
      <c r="C989" s="2"/>
    </row>
    <row r="990" spans="1:3" ht="13.8" x14ac:dyDescent="0.3">
      <c r="A990" s="5"/>
      <c r="C990" s="2"/>
    </row>
    <row r="991" spans="1:3" ht="13.8" x14ac:dyDescent="0.3">
      <c r="A991" s="5"/>
      <c r="C991" s="2"/>
    </row>
    <row r="992" spans="1:3" ht="13.8" x14ac:dyDescent="0.3">
      <c r="A992" s="5"/>
      <c r="C992" s="2"/>
    </row>
    <row r="993" spans="1:3" ht="13.8" x14ac:dyDescent="0.3">
      <c r="A993" s="5"/>
      <c r="C993" s="2"/>
    </row>
    <row r="994" spans="1:3" ht="13.8" x14ac:dyDescent="0.3">
      <c r="A994" s="5"/>
      <c r="C994" s="2"/>
    </row>
    <row r="995" spans="1:3" ht="13.8" x14ac:dyDescent="0.3">
      <c r="A995" s="5"/>
      <c r="C995" s="2"/>
    </row>
    <row r="996" spans="1:3" ht="13.8" x14ac:dyDescent="0.3">
      <c r="A996" s="5"/>
      <c r="C996" s="2"/>
    </row>
    <row r="997" spans="1:3" ht="13.8" x14ac:dyDescent="0.3">
      <c r="A997" s="5"/>
      <c r="C997" s="2"/>
    </row>
    <row r="998" spans="1:3" ht="13.8" x14ac:dyDescent="0.3">
      <c r="A998" s="5"/>
      <c r="C998" s="2"/>
    </row>
    <row r="999" spans="1:3" ht="13.8" x14ac:dyDescent="0.3">
      <c r="A999" s="5"/>
      <c r="C999" s="2"/>
    </row>
    <row r="1000" spans="1:3" ht="13.8" x14ac:dyDescent="0.3">
      <c r="A1000" s="5"/>
      <c r="C1000"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7A4FF-47E2-4B03-967C-A7BF7CAD67BB}">
  <sheetPr>
    <outlinePr summaryBelow="0" summaryRight="0"/>
  </sheetPr>
  <dimension ref="A1:E1000"/>
  <sheetViews>
    <sheetView workbookViewId="0"/>
  </sheetViews>
  <sheetFormatPr defaultColWidth="12.6640625" defaultRowHeight="15.75" customHeight="1" x14ac:dyDescent="0.3"/>
  <cols>
    <col min="1" max="1" width="12.6640625" style="1"/>
    <col min="2" max="2" width="25.6640625" style="1" customWidth="1"/>
    <col min="3" max="16384" width="12.6640625" style="1"/>
  </cols>
  <sheetData>
    <row r="1" spans="1:5" ht="13.8" x14ac:dyDescent="0.3">
      <c r="A1" s="4" t="s">
        <v>399</v>
      </c>
      <c r="B1" s="4" t="s">
        <v>398</v>
      </c>
      <c r="C1" s="4" t="s">
        <v>397</v>
      </c>
      <c r="D1" s="2" t="s">
        <v>211</v>
      </c>
      <c r="E1" s="4" t="s">
        <v>168</v>
      </c>
    </row>
    <row r="2" spans="1:5" ht="13.8" x14ac:dyDescent="0.3">
      <c r="A2" s="4" t="s">
        <v>396</v>
      </c>
      <c r="B2" s="4" t="s">
        <v>395</v>
      </c>
      <c r="C2" s="4" t="s">
        <v>215</v>
      </c>
      <c r="D2" s="2">
        <v>293</v>
      </c>
      <c r="E2" s="4" t="s">
        <v>394</v>
      </c>
    </row>
    <row r="3" spans="1:5" ht="13.8" x14ac:dyDescent="0.3">
      <c r="A3" s="4" t="s">
        <v>393</v>
      </c>
      <c r="B3" s="4" t="s">
        <v>392</v>
      </c>
      <c r="C3" s="4" t="s">
        <v>391</v>
      </c>
      <c r="D3" s="2">
        <v>168</v>
      </c>
      <c r="E3" s="4" t="s">
        <v>390</v>
      </c>
    </row>
    <row r="4" spans="1:5" ht="13.8" x14ac:dyDescent="0.3">
      <c r="A4" s="4" t="s">
        <v>389</v>
      </c>
      <c r="B4" s="4" t="s">
        <v>388</v>
      </c>
      <c r="C4" s="4" t="s">
        <v>387</v>
      </c>
      <c r="D4" s="2">
        <v>135</v>
      </c>
      <c r="E4" s="4" t="s">
        <v>386</v>
      </c>
    </row>
    <row r="5" spans="1:5" ht="13.8" x14ac:dyDescent="0.3">
      <c r="A5" s="4" t="s">
        <v>384</v>
      </c>
      <c r="B5" s="4" t="s">
        <v>385</v>
      </c>
      <c r="C5" s="4" t="s">
        <v>384</v>
      </c>
      <c r="D5" s="2">
        <v>126</v>
      </c>
      <c r="E5" s="4" t="s">
        <v>383</v>
      </c>
    </row>
    <row r="6" spans="1:5" ht="13.8" x14ac:dyDescent="0.3">
      <c r="A6" s="4" t="s">
        <v>382</v>
      </c>
      <c r="B6" s="4" t="s">
        <v>381</v>
      </c>
      <c r="C6" s="4" t="s">
        <v>380</v>
      </c>
      <c r="D6" s="2">
        <v>87</v>
      </c>
      <c r="E6" s="4" t="s">
        <v>379</v>
      </c>
    </row>
    <row r="7" spans="1:5" ht="13.8" x14ac:dyDescent="0.3">
      <c r="A7" s="4" t="s">
        <v>378</v>
      </c>
      <c r="B7" s="4" t="s">
        <v>377</v>
      </c>
      <c r="C7" s="4" t="s">
        <v>376</v>
      </c>
      <c r="D7" s="2">
        <v>84</v>
      </c>
      <c r="E7" s="4" t="s">
        <v>375</v>
      </c>
    </row>
    <row r="8" spans="1:5" ht="13.8" x14ac:dyDescent="0.3">
      <c r="A8" s="4" t="s">
        <v>374</v>
      </c>
      <c r="B8" s="4" t="s">
        <v>373</v>
      </c>
      <c r="C8" s="4" t="s">
        <v>252</v>
      </c>
      <c r="D8" s="2">
        <v>69</v>
      </c>
      <c r="E8" s="4" t="s">
        <v>372</v>
      </c>
    </row>
    <row r="9" spans="1:5" ht="13.8" x14ac:dyDescent="0.3">
      <c r="A9" s="4" t="s">
        <v>371</v>
      </c>
      <c r="B9" s="4" t="s">
        <v>370</v>
      </c>
      <c r="C9" s="4" t="s">
        <v>369</v>
      </c>
      <c r="D9" s="2">
        <v>64</v>
      </c>
      <c r="E9" s="4" t="s">
        <v>368</v>
      </c>
    </row>
    <row r="10" spans="1:5" ht="13.8" x14ac:dyDescent="0.3">
      <c r="A10" s="4" t="s">
        <v>367</v>
      </c>
      <c r="B10" s="4" t="s">
        <v>366</v>
      </c>
      <c r="C10" s="4" t="s">
        <v>365</v>
      </c>
      <c r="D10" s="2">
        <v>62</v>
      </c>
      <c r="E10" s="4" t="s">
        <v>364</v>
      </c>
    </row>
    <row r="11" spans="1:5" ht="13.8" x14ac:dyDescent="0.3">
      <c r="A11" s="4" t="s">
        <v>362</v>
      </c>
      <c r="B11" s="4" t="s">
        <v>363</v>
      </c>
      <c r="C11" s="4" t="s">
        <v>362</v>
      </c>
      <c r="D11" s="2">
        <v>57</v>
      </c>
      <c r="E11" s="4" t="s">
        <v>361</v>
      </c>
    </row>
    <row r="12" spans="1:5" ht="13.8" x14ac:dyDescent="0.3">
      <c r="A12" s="4" t="s">
        <v>360</v>
      </c>
      <c r="B12" s="4" t="s">
        <v>359</v>
      </c>
      <c r="C12" s="4" t="s">
        <v>264</v>
      </c>
      <c r="D12" s="2">
        <v>56</v>
      </c>
      <c r="E12" s="4" t="s">
        <v>358</v>
      </c>
    </row>
    <row r="13" spans="1:5" ht="13.8" x14ac:dyDescent="0.3">
      <c r="A13" s="4" t="s">
        <v>357</v>
      </c>
      <c r="B13" s="4" t="s">
        <v>356</v>
      </c>
      <c r="C13" s="4" t="s">
        <v>355</v>
      </c>
      <c r="D13" s="2">
        <v>54</v>
      </c>
      <c r="E13" s="4" t="s">
        <v>354</v>
      </c>
    </row>
    <row r="14" spans="1:5" ht="13.8" x14ac:dyDescent="0.3">
      <c r="A14" s="4" t="s">
        <v>353</v>
      </c>
      <c r="B14" s="4" t="s">
        <v>352</v>
      </c>
      <c r="C14" s="4" t="s">
        <v>351</v>
      </c>
      <c r="D14" s="2">
        <v>53</v>
      </c>
      <c r="E14" s="4" t="s">
        <v>350</v>
      </c>
    </row>
    <row r="15" spans="1:5" ht="13.8" x14ac:dyDescent="0.3">
      <c r="A15" s="4" t="s">
        <v>349</v>
      </c>
      <c r="B15" s="4" t="s">
        <v>348</v>
      </c>
      <c r="C15" s="4" t="s">
        <v>347</v>
      </c>
      <c r="D15" s="2">
        <v>50</v>
      </c>
      <c r="E15" s="4" t="s">
        <v>346</v>
      </c>
    </row>
    <row r="16" spans="1:5" ht="13.8" x14ac:dyDescent="0.3">
      <c r="A16" s="4" t="s">
        <v>345</v>
      </c>
      <c r="B16" s="4" t="s">
        <v>344</v>
      </c>
      <c r="C16" s="4" t="s">
        <v>343</v>
      </c>
      <c r="D16" s="2">
        <v>48</v>
      </c>
      <c r="E16" s="4" t="s">
        <v>342</v>
      </c>
    </row>
    <row r="17" spans="1:5" ht="13.8" x14ac:dyDescent="0.3">
      <c r="A17" s="4" t="s">
        <v>341</v>
      </c>
      <c r="B17" s="4" t="s">
        <v>340</v>
      </c>
      <c r="C17" s="4" t="s">
        <v>339</v>
      </c>
      <c r="D17" s="2">
        <v>47</v>
      </c>
      <c r="E17" s="4" t="s">
        <v>338</v>
      </c>
    </row>
    <row r="18" spans="1:5" ht="13.8" x14ac:dyDescent="0.3">
      <c r="A18" s="4" t="s">
        <v>337</v>
      </c>
      <c r="B18" s="4" t="s">
        <v>336</v>
      </c>
      <c r="C18" s="4" t="s">
        <v>335</v>
      </c>
      <c r="D18" s="2">
        <v>47</v>
      </c>
      <c r="E18" s="4" t="s">
        <v>334</v>
      </c>
    </row>
    <row r="19" spans="1:5" ht="13.8" x14ac:dyDescent="0.3">
      <c r="A19" s="4" t="s">
        <v>333</v>
      </c>
      <c r="B19" s="4" t="s">
        <v>332</v>
      </c>
      <c r="C19" s="4" t="s">
        <v>215</v>
      </c>
      <c r="D19" s="2">
        <v>46</v>
      </c>
      <c r="E19" s="4" t="s">
        <v>331</v>
      </c>
    </row>
    <row r="20" spans="1:5" ht="13.8" x14ac:dyDescent="0.3">
      <c r="A20" s="4" t="s">
        <v>330</v>
      </c>
      <c r="B20" s="4" t="s">
        <v>329</v>
      </c>
      <c r="C20" s="4" t="s">
        <v>328</v>
      </c>
      <c r="D20" s="2">
        <v>45</v>
      </c>
      <c r="E20" s="4" t="s">
        <v>327</v>
      </c>
    </row>
    <row r="21" spans="1:5" ht="13.8" x14ac:dyDescent="0.3">
      <c r="A21" s="4" t="s">
        <v>326</v>
      </c>
      <c r="B21" s="4" t="s">
        <v>325</v>
      </c>
      <c r="C21" s="4" t="s">
        <v>215</v>
      </c>
      <c r="D21" s="2">
        <v>42</v>
      </c>
      <c r="E21" s="4" t="s">
        <v>324</v>
      </c>
    </row>
    <row r="22" spans="1:5" ht="13.8" x14ac:dyDescent="0.3">
      <c r="A22" s="4" t="s">
        <v>323</v>
      </c>
      <c r="B22" s="4" t="s">
        <v>322</v>
      </c>
      <c r="C22" s="4" t="s">
        <v>321</v>
      </c>
      <c r="D22" s="2">
        <v>40</v>
      </c>
      <c r="E22" s="4" t="s">
        <v>320</v>
      </c>
    </row>
    <row r="23" spans="1:5" ht="13.8" x14ac:dyDescent="0.3">
      <c r="A23" s="4" t="s">
        <v>319</v>
      </c>
      <c r="B23" s="4" t="s">
        <v>318</v>
      </c>
      <c r="C23" s="4" t="s">
        <v>317</v>
      </c>
      <c r="D23" s="2">
        <v>39</v>
      </c>
      <c r="E23" s="4" t="s">
        <v>316</v>
      </c>
    </row>
    <row r="24" spans="1:5" ht="13.8" x14ac:dyDescent="0.3">
      <c r="A24" s="4" t="s">
        <v>314</v>
      </c>
      <c r="B24" s="4" t="s">
        <v>315</v>
      </c>
      <c r="C24" s="4" t="s">
        <v>314</v>
      </c>
      <c r="D24" s="2">
        <v>39</v>
      </c>
      <c r="E24" s="4" t="s">
        <v>313</v>
      </c>
    </row>
    <row r="25" spans="1:5" ht="13.8" x14ac:dyDescent="0.3">
      <c r="A25" s="4" t="s">
        <v>311</v>
      </c>
      <c r="B25" s="4" t="s">
        <v>312</v>
      </c>
      <c r="C25" s="4" t="s">
        <v>311</v>
      </c>
      <c r="D25" s="2">
        <v>39</v>
      </c>
      <c r="E25" s="4" t="s">
        <v>310</v>
      </c>
    </row>
    <row r="26" spans="1:5" ht="13.8" x14ac:dyDescent="0.3">
      <c r="A26" s="4" t="s">
        <v>309</v>
      </c>
      <c r="B26" s="4" t="s">
        <v>308</v>
      </c>
      <c r="C26" s="4" t="s">
        <v>307</v>
      </c>
      <c r="D26" s="2">
        <v>38</v>
      </c>
      <c r="E26" s="4" t="s">
        <v>306</v>
      </c>
    </row>
    <row r="27" spans="1:5" ht="13.8" x14ac:dyDescent="0.3">
      <c r="A27" s="4" t="s">
        <v>305</v>
      </c>
      <c r="B27" s="4" t="s">
        <v>304</v>
      </c>
      <c r="C27" s="4" t="s">
        <v>303</v>
      </c>
      <c r="D27" s="2">
        <v>37</v>
      </c>
      <c r="E27" s="4" t="s">
        <v>302</v>
      </c>
    </row>
    <row r="28" spans="1:5" ht="13.8" x14ac:dyDescent="0.3">
      <c r="A28" s="4" t="s">
        <v>301</v>
      </c>
      <c r="B28" s="4" t="s">
        <v>300</v>
      </c>
      <c r="C28" s="4" t="s">
        <v>299</v>
      </c>
      <c r="D28" s="2">
        <v>36</v>
      </c>
      <c r="E28" s="4" t="s">
        <v>298</v>
      </c>
    </row>
    <row r="29" spans="1:5" ht="13.8" x14ac:dyDescent="0.3">
      <c r="A29" s="4" t="s">
        <v>296</v>
      </c>
      <c r="B29" s="4" t="s">
        <v>297</v>
      </c>
      <c r="C29" s="4" t="s">
        <v>296</v>
      </c>
      <c r="D29" s="2">
        <v>34</v>
      </c>
      <c r="E29" s="4" t="s">
        <v>295</v>
      </c>
    </row>
    <row r="30" spans="1:5" ht="13.8" x14ac:dyDescent="0.3">
      <c r="A30" s="4" t="s">
        <v>294</v>
      </c>
      <c r="B30" s="4" t="s">
        <v>293</v>
      </c>
      <c r="C30" s="4" t="s">
        <v>292</v>
      </c>
      <c r="D30" s="2">
        <v>34</v>
      </c>
      <c r="E30" s="4" t="s">
        <v>291</v>
      </c>
    </row>
    <row r="31" spans="1:5" ht="13.8" x14ac:dyDescent="0.3">
      <c r="A31" s="4" t="s">
        <v>290</v>
      </c>
      <c r="B31" s="4" t="s">
        <v>289</v>
      </c>
      <c r="C31" s="4" t="s">
        <v>288</v>
      </c>
      <c r="D31" s="2">
        <v>33</v>
      </c>
      <c r="E31" s="4" t="s">
        <v>287</v>
      </c>
    </row>
    <row r="32" spans="1:5" ht="13.8" x14ac:dyDescent="0.3">
      <c r="A32" s="4" t="s">
        <v>286</v>
      </c>
      <c r="B32" s="4" t="s">
        <v>285</v>
      </c>
      <c r="C32" s="4" t="s">
        <v>284</v>
      </c>
      <c r="D32" s="2">
        <v>33</v>
      </c>
      <c r="E32" s="4" t="s">
        <v>283</v>
      </c>
    </row>
    <row r="33" spans="1:5" ht="13.8" x14ac:dyDescent="0.3">
      <c r="A33" s="4" t="s">
        <v>282</v>
      </c>
      <c r="B33" s="4" t="s">
        <v>281</v>
      </c>
      <c r="C33" s="4" t="s">
        <v>280</v>
      </c>
      <c r="D33" s="2">
        <v>32</v>
      </c>
      <c r="E33" s="4" t="s">
        <v>279</v>
      </c>
    </row>
    <row r="34" spans="1:5" ht="13.8" x14ac:dyDescent="0.3">
      <c r="A34" s="4" t="s">
        <v>278</v>
      </c>
      <c r="B34" s="4" t="s">
        <v>277</v>
      </c>
      <c r="C34" s="4" t="s">
        <v>215</v>
      </c>
      <c r="D34" s="2">
        <v>32</v>
      </c>
      <c r="E34" s="4" t="s">
        <v>276</v>
      </c>
    </row>
    <row r="35" spans="1:5" ht="13.8" x14ac:dyDescent="0.3">
      <c r="A35" s="4" t="s">
        <v>275</v>
      </c>
      <c r="B35" s="4" t="s">
        <v>274</v>
      </c>
      <c r="C35" s="4" t="s">
        <v>260</v>
      </c>
      <c r="D35" s="2">
        <v>31</v>
      </c>
      <c r="E35" s="4" t="s">
        <v>273</v>
      </c>
    </row>
    <row r="36" spans="1:5" ht="13.8" x14ac:dyDescent="0.3">
      <c r="A36" s="4" t="s">
        <v>272</v>
      </c>
      <c r="B36" s="4" t="s">
        <v>271</v>
      </c>
      <c r="C36" s="4" t="s">
        <v>244</v>
      </c>
      <c r="D36" s="2">
        <v>31</v>
      </c>
      <c r="E36" s="4" t="s">
        <v>270</v>
      </c>
    </row>
    <row r="37" spans="1:5" ht="13.8" x14ac:dyDescent="0.3">
      <c r="A37" s="4" t="s">
        <v>268</v>
      </c>
      <c r="B37" s="4" t="s">
        <v>269</v>
      </c>
      <c r="C37" s="4" t="s">
        <v>268</v>
      </c>
      <c r="D37" s="2">
        <v>31</v>
      </c>
      <c r="E37" s="4" t="s">
        <v>267</v>
      </c>
    </row>
    <row r="38" spans="1:5" ht="13.8" x14ac:dyDescent="0.3">
      <c r="A38" s="4" t="s">
        <v>266</v>
      </c>
      <c r="B38" s="4" t="s">
        <v>265</v>
      </c>
      <c r="C38" s="4" t="s">
        <v>264</v>
      </c>
      <c r="D38" s="2">
        <v>29</v>
      </c>
      <c r="E38" s="4" t="s">
        <v>263</v>
      </c>
    </row>
    <row r="39" spans="1:5" ht="13.8" x14ac:dyDescent="0.3">
      <c r="A39" s="4" t="s">
        <v>262</v>
      </c>
      <c r="B39" s="4" t="s">
        <v>261</v>
      </c>
      <c r="C39" s="4" t="s">
        <v>260</v>
      </c>
      <c r="D39" s="2">
        <v>29</v>
      </c>
      <c r="E39" s="4" t="s">
        <v>259</v>
      </c>
    </row>
    <row r="40" spans="1:5" ht="13.8" x14ac:dyDescent="0.3">
      <c r="A40" s="4" t="s">
        <v>258</v>
      </c>
      <c r="B40" s="4" t="s">
        <v>257</v>
      </c>
      <c r="C40" s="4" t="s">
        <v>256</v>
      </c>
      <c r="D40" s="2">
        <v>29</v>
      </c>
      <c r="E40" s="4" t="s">
        <v>255</v>
      </c>
    </row>
    <row r="41" spans="1:5" ht="13.8" x14ac:dyDescent="0.3">
      <c r="A41" s="4" t="s">
        <v>254</v>
      </c>
      <c r="B41" s="4" t="s">
        <v>253</v>
      </c>
      <c r="C41" s="4" t="s">
        <v>252</v>
      </c>
      <c r="D41" s="2">
        <v>28</v>
      </c>
      <c r="E41" s="4" t="s">
        <v>251</v>
      </c>
    </row>
    <row r="42" spans="1:5" ht="13.8" x14ac:dyDescent="0.3">
      <c r="A42" s="4" t="s">
        <v>250</v>
      </c>
      <c r="B42" s="4" t="s">
        <v>249</v>
      </c>
      <c r="C42" s="4" t="s">
        <v>248</v>
      </c>
      <c r="D42" s="2">
        <v>28</v>
      </c>
      <c r="E42" s="4" t="s">
        <v>247</v>
      </c>
    </row>
    <row r="43" spans="1:5" ht="13.8" x14ac:dyDescent="0.3">
      <c r="A43" s="4" t="s">
        <v>246</v>
      </c>
      <c r="B43" s="4" t="s">
        <v>245</v>
      </c>
      <c r="C43" s="4" t="s">
        <v>244</v>
      </c>
      <c r="D43" s="2">
        <v>28</v>
      </c>
      <c r="E43" s="4" t="s">
        <v>243</v>
      </c>
    </row>
    <row r="44" spans="1:5" ht="13.8" x14ac:dyDescent="0.3">
      <c r="A44" s="4" t="s">
        <v>242</v>
      </c>
      <c r="B44" s="4" t="s">
        <v>241</v>
      </c>
      <c r="C44" s="4" t="s">
        <v>215</v>
      </c>
      <c r="D44" s="2">
        <v>27</v>
      </c>
      <c r="E44" s="4" t="s">
        <v>240</v>
      </c>
    </row>
    <row r="45" spans="1:5" ht="13.8" x14ac:dyDescent="0.3">
      <c r="A45" s="4" t="s">
        <v>239</v>
      </c>
      <c r="B45" s="4" t="s">
        <v>238</v>
      </c>
      <c r="C45" s="4" t="s">
        <v>215</v>
      </c>
      <c r="D45" s="2">
        <v>26</v>
      </c>
      <c r="E45" s="4" t="s">
        <v>237</v>
      </c>
    </row>
    <row r="46" spans="1:5" ht="13.8" x14ac:dyDescent="0.3">
      <c r="A46" s="4" t="s">
        <v>236</v>
      </c>
      <c r="B46" s="4" t="s">
        <v>235</v>
      </c>
      <c r="C46" s="4" t="s">
        <v>234</v>
      </c>
      <c r="D46" s="2">
        <v>26</v>
      </c>
      <c r="E46" s="4" t="s">
        <v>233</v>
      </c>
    </row>
    <row r="47" spans="1:5" ht="13.8" x14ac:dyDescent="0.3">
      <c r="A47" s="4" t="s">
        <v>231</v>
      </c>
      <c r="B47" s="4" t="s">
        <v>232</v>
      </c>
      <c r="C47" s="4" t="s">
        <v>231</v>
      </c>
      <c r="D47" s="2">
        <v>26</v>
      </c>
      <c r="E47" s="4" t="s">
        <v>230</v>
      </c>
    </row>
    <row r="48" spans="1:5" ht="13.8" x14ac:dyDescent="0.3">
      <c r="A48" s="4" t="s">
        <v>229</v>
      </c>
      <c r="B48" s="4" t="s">
        <v>228</v>
      </c>
      <c r="C48" s="4" t="s">
        <v>227</v>
      </c>
      <c r="D48" s="2">
        <v>26</v>
      </c>
      <c r="E48" s="4" t="s">
        <v>226</v>
      </c>
    </row>
    <row r="49" spans="1:5" ht="13.8" x14ac:dyDescent="0.3">
      <c r="A49" s="4" t="s">
        <v>225</v>
      </c>
      <c r="B49" s="4" t="s">
        <v>224</v>
      </c>
      <c r="C49" s="4" t="s">
        <v>223</v>
      </c>
      <c r="D49" s="2">
        <v>26</v>
      </c>
      <c r="E49" s="4" t="s">
        <v>222</v>
      </c>
    </row>
    <row r="50" spans="1:5" ht="13.8" x14ac:dyDescent="0.3">
      <c r="A50" s="4" t="s">
        <v>221</v>
      </c>
      <c r="B50" s="4" t="s">
        <v>220</v>
      </c>
      <c r="C50" s="4" t="s">
        <v>219</v>
      </c>
      <c r="D50" s="2">
        <v>25</v>
      </c>
      <c r="E50" s="4" t="s">
        <v>218</v>
      </c>
    </row>
    <row r="51" spans="1:5" ht="13.8" x14ac:dyDescent="0.3">
      <c r="A51" s="4" t="s">
        <v>217</v>
      </c>
      <c r="B51" s="4" t="s">
        <v>216</v>
      </c>
      <c r="C51" s="4" t="s">
        <v>215</v>
      </c>
      <c r="D51" s="2">
        <v>24</v>
      </c>
      <c r="E51" s="4" t="s">
        <v>214</v>
      </c>
    </row>
    <row r="52" spans="1:5" ht="13.8" x14ac:dyDescent="0.3">
      <c r="D52" s="2"/>
    </row>
    <row r="53" spans="1:5" ht="13.8" x14ac:dyDescent="0.3">
      <c r="D53" s="2"/>
    </row>
    <row r="54" spans="1:5" ht="13.8" x14ac:dyDescent="0.3">
      <c r="D54" s="2"/>
    </row>
    <row r="55" spans="1:5" ht="13.8" x14ac:dyDescent="0.3">
      <c r="D55" s="2"/>
    </row>
    <row r="56" spans="1:5" ht="13.8" x14ac:dyDescent="0.3">
      <c r="D56" s="2"/>
    </row>
    <row r="57" spans="1:5" ht="13.8" x14ac:dyDescent="0.3">
      <c r="D57" s="2"/>
    </row>
    <row r="58" spans="1:5" ht="13.8" x14ac:dyDescent="0.3">
      <c r="D58" s="2"/>
    </row>
    <row r="59" spans="1:5" ht="13.8" x14ac:dyDescent="0.3">
      <c r="D59" s="2"/>
    </row>
    <row r="60" spans="1:5" ht="13.8" x14ac:dyDescent="0.3">
      <c r="D60" s="2"/>
    </row>
    <row r="61" spans="1:5" ht="13.8" x14ac:dyDescent="0.3">
      <c r="D61" s="2"/>
    </row>
    <row r="62" spans="1:5" ht="13.8" x14ac:dyDescent="0.3">
      <c r="D62" s="2"/>
    </row>
    <row r="63" spans="1:5" ht="13.8" x14ac:dyDescent="0.3">
      <c r="D63" s="2"/>
    </row>
    <row r="64" spans="1:5" ht="13.8" x14ac:dyDescent="0.3">
      <c r="D64" s="2"/>
    </row>
    <row r="65" spans="4:4" ht="13.8" x14ac:dyDescent="0.3">
      <c r="D65" s="2"/>
    </row>
    <row r="66" spans="4:4" ht="13.8" x14ac:dyDescent="0.3">
      <c r="D66" s="2"/>
    </row>
    <row r="67" spans="4:4" ht="13.8" x14ac:dyDescent="0.3">
      <c r="D67" s="2"/>
    </row>
    <row r="68" spans="4:4" ht="13.8" x14ac:dyDescent="0.3">
      <c r="D68" s="2"/>
    </row>
    <row r="69" spans="4:4" ht="13.8" x14ac:dyDescent="0.3">
      <c r="D69" s="2"/>
    </row>
    <row r="70" spans="4:4" ht="13.8" x14ac:dyDescent="0.3">
      <c r="D70" s="2"/>
    </row>
    <row r="71" spans="4:4" ht="13.8" x14ac:dyDescent="0.3">
      <c r="D71" s="2"/>
    </row>
    <row r="72" spans="4:4" ht="13.8" x14ac:dyDescent="0.3">
      <c r="D72" s="2"/>
    </row>
    <row r="73" spans="4:4" ht="13.8" x14ac:dyDescent="0.3">
      <c r="D73" s="2"/>
    </row>
    <row r="74" spans="4:4" ht="13.8" x14ac:dyDescent="0.3">
      <c r="D74" s="2"/>
    </row>
    <row r="75" spans="4:4" ht="13.8" x14ac:dyDescent="0.3">
      <c r="D75" s="2"/>
    </row>
    <row r="76" spans="4:4" ht="13.8" x14ac:dyDescent="0.3">
      <c r="D76" s="2"/>
    </row>
    <row r="77" spans="4:4" ht="13.8" x14ac:dyDescent="0.3">
      <c r="D77" s="2"/>
    </row>
    <row r="78" spans="4:4" ht="13.8" x14ac:dyDescent="0.3">
      <c r="D78" s="2"/>
    </row>
    <row r="79" spans="4:4" ht="13.8" x14ac:dyDescent="0.3">
      <c r="D79" s="2"/>
    </row>
    <row r="80" spans="4:4" ht="13.8" x14ac:dyDescent="0.3">
      <c r="D80" s="2"/>
    </row>
    <row r="81" spans="4:4" ht="13.8" x14ac:dyDescent="0.3">
      <c r="D81" s="2"/>
    </row>
    <row r="82" spans="4:4" ht="13.8" x14ac:dyDescent="0.3">
      <c r="D82" s="2"/>
    </row>
    <row r="83" spans="4:4" ht="13.8" x14ac:dyDescent="0.3">
      <c r="D83" s="2"/>
    </row>
    <row r="84" spans="4:4" ht="13.8" x14ac:dyDescent="0.3">
      <c r="D84" s="2"/>
    </row>
    <row r="85" spans="4:4" ht="13.8" x14ac:dyDescent="0.3">
      <c r="D85" s="2"/>
    </row>
    <row r="86" spans="4:4" ht="13.8" x14ac:dyDescent="0.3">
      <c r="D86" s="2"/>
    </row>
    <row r="87" spans="4:4" ht="13.8" x14ac:dyDescent="0.3">
      <c r="D87" s="2"/>
    </row>
    <row r="88" spans="4:4" ht="13.8" x14ac:dyDescent="0.3">
      <c r="D88" s="2"/>
    </row>
    <row r="89" spans="4:4" ht="13.8" x14ac:dyDescent="0.3">
      <c r="D89" s="2"/>
    </row>
    <row r="90" spans="4:4" ht="13.8" x14ac:dyDescent="0.3">
      <c r="D90" s="2"/>
    </row>
    <row r="91" spans="4:4" ht="13.8" x14ac:dyDescent="0.3">
      <c r="D91" s="2"/>
    </row>
    <row r="92" spans="4:4" ht="13.8" x14ac:dyDescent="0.3">
      <c r="D92" s="2"/>
    </row>
    <row r="93" spans="4:4" ht="13.8" x14ac:dyDescent="0.3">
      <c r="D93" s="2"/>
    </row>
    <row r="94" spans="4:4" ht="13.8" x14ac:dyDescent="0.3">
      <c r="D94" s="2"/>
    </row>
    <row r="95" spans="4:4" ht="13.8" x14ac:dyDescent="0.3">
      <c r="D95" s="2"/>
    </row>
    <row r="96" spans="4:4" ht="13.8" x14ac:dyDescent="0.3">
      <c r="D96" s="2"/>
    </row>
    <row r="97" spans="4:4" ht="13.8" x14ac:dyDescent="0.3">
      <c r="D97" s="2"/>
    </row>
    <row r="98" spans="4:4" ht="13.8" x14ac:dyDescent="0.3">
      <c r="D98" s="2"/>
    </row>
    <row r="99" spans="4:4" ht="13.8" x14ac:dyDescent="0.3">
      <c r="D99" s="2"/>
    </row>
    <row r="100" spans="4:4" ht="13.8" x14ac:dyDescent="0.3">
      <c r="D100" s="2"/>
    </row>
    <row r="101" spans="4:4" ht="13.8" x14ac:dyDescent="0.3">
      <c r="D101" s="2"/>
    </row>
    <row r="102" spans="4:4" ht="13.8" x14ac:dyDescent="0.3">
      <c r="D102" s="2"/>
    </row>
    <row r="103" spans="4:4" ht="13.8" x14ac:dyDescent="0.3">
      <c r="D103" s="2"/>
    </row>
    <row r="104" spans="4:4" ht="13.8" x14ac:dyDescent="0.3">
      <c r="D104" s="2"/>
    </row>
    <row r="105" spans="4:4" ht="13.8" x14ac:dyDescent="0.3">
      <c r="D105" s="2"/>
    </row>
    <row r="106" spans="4:4" ht="13.8" x14ac:dyDescent="0.3">
      <c r="D106" s="2"/>
    </row>
    <row r="107" spans="4:4" ht="13.8" x14ac:dyDescent="0.3">
      <c r="D107" s="2"/>
    </row>
    <row r="108" spans="4:4" ht="13.8" x14ac:dyDescent="0.3">
      <c r="D108" s="2"/>
    </row>
    <row r="109" spans="4:4" ht="13.8" x14ac:dyDescent="0.3">
      <c r="D109" s="2"/>
    </row>
    <row r="110" spans="4:4" ht="13.8" x14ac:dyDescent="0.3">
      <c r="D110" s="2"/>
    </row>
    <row r="111" spans="4:4" ht="13.8" x14ac:dyDescent="0.3">
      <c r="D111" s="2"/>
    </row>
    <row r="112" spans="4:4" ht="13.8" x14ac:dyDescent="0.3">
      <c r="D112" s="2"/>
    </row>
    <row r="113" spans="4:4" ht="13.8" x14ac:dyDescent="0.3">
      <c r="D113" s="2"/>
    </row>
    <row r="114" spans="4:4" ht="13.8" x14ac:dyDescent="0.3">
      <c r="D114" s="2"/>
    </row>
    <row r="115" spans="4:4" ht="13.8" x14ac:dyDescent="0.3">
      <c r="D115" s="2"/>
    </row>
    <row r="116" spans="4:4" ht="13.8" x14ac:dyDescent="0.3">
      <c r="D116" s="2"/>
    </row>
    <row r="117" spans="4:4" ht="13.8" x14ac:dyDescent="0.3">
      <c r="D117" s="2"/>
    </row>
    <row r="118" spans="4:4" ht="13.8" x14ac:dyDescent="0.3">
      <c r="D118" s="2"/>
    </row>
    <row r="119" spans="4:4" ht="13.8" x14ac:dyDescent="0.3">
      <c r="D119" s="2"/>
    </row>
    <row r="120" spans="4:4" ht="13.8" x14ac:dyDescent="0.3">
      <c r="D120" s="2"/>
    </row>
    <row r="121" spans="4:4" ht="13.8" x14ac:dyDescent="0.3">
      <c r="D121" s="2"/>
    </row>
    <row r="122" spans="4:4" ht="13.8" x14ac:dyDescent="0.3">
      <c r="D122" s="2"/>
    </row>
    <row r="123" spans="4:4" ht="13.8" x14ac:dyDescent="0.3">
      <c r="D123" s="2"/>
    </row>
    <row r="124" spans="4:4" ht="13.8" x14ac:dyDescent="0.3">
      <c r="D124" s="2"/>
    </row>
    <row r="125" spans="4:4" ht="13.8" x14ac:dyDescent="0.3">
      <c r="D125" s="2"/>
    </row>
    <row r="126" spans="4:4" ht="13.8" x14ac:dyDescent="0.3">
      <c r="D126" s="2"/>
    </row>
    <row r="127" spans="4:4" ht="13.8" x14ac:dyDescent="0.3">
      <c r="D127" s="2"/>
    </row>
    <row r="128" spans="4:4" ht="13.8" x14ac:dyDescent="0.3">
      <c r="D128" s="2"/>
    </row>
    <row r="129" spans="4:4" ht="13.8" x14ac:dyDescent="0.3">
      <c r="D129" s="2"/>
    </row>
    <row r="130" spans="4:4" ht="13.8" x14ac:dyDescent="0.3">
      <c r="D130" s="2"/>
    </row>
    <row r="131" spans="4:4" ht="13.8" x14ac:dyDescent="0.3">
      <c r="D131" s="2"/>
    </row>
    <row r="132" spans="4:4" ht="13.8" x14ac:dyDescent="0.3">
      <c r="D132" s="2"/>
    </row>
    <row r="133" spans="4:4" ht="13.8" x14ac:dyDescent="0.3">
      <c r="D133" s="2"/>
    </row>
    <row r="134" spans="4:4" ht="13.8" x14ac:dyDescent="0.3">
      <c r="D134" s="2"/>
    </row>
    <row r="135" spans="4:4" ht="13.8" x14ac:dyDescent="0.3">
      <c r="D135" s="2"/>
    </row>
    <row r="136" spans="4:4" ht="13.8" x14ac:dyDescent="0.3">
      <c r="D136" s="2"/>
    </row>
    <row r="137" spans="4:4" ht="13.8" x14ac:dyDescent="0.3">
      <c r="D137" s="2"/>
    </row>
    <row r="138" spans="4:4" ht="13.8" x14ac:dyDescent="0.3">
      <c r="D138" s="2"/>
    </row>
    <row r="139" spans="4:4" ht="13.8" x14ac:dyDescent="0.3">
      <c r="D139" s="2"/>
    </row>
    <row r="140" spans="4:4" ht="13.8" x14ac:dyDescent="0.3">
      <c r="D140" s="2"/>
    </row>
    <row r="141" spans="4:4" ht="13.8" x14ac:dyDescent="0.3">
      <c r="D141" s="2"/>
    </row>
    <row r="142" spans="4:4" ht="13.8" x14ac:dyDescent="0.3">
      <c r="D142" s="2"/>
    </row>
    <row r="143" spans="4:4" ht="13.8" x14ac:dyDescent="0.3">
      <c r="D143" s="2"/>
    </row>
    <row r="144" spans="4:4" ht="13.8" x14ac:dyDescent="0.3">
      <c r="D144" s="2"/>
    </row>
    <row r="145" spans="4:4" ht="13.8" x14ac:dyDescent="0.3">
      <c r="D145" s="2"/>
    </row>
    <row r="146" spans="4:4" ht="13.8" x14ac:dyDescent="0.3">
      <c r="D146" s="2"/>
    </row>
    <row r="147" spans="4:4" ht="13.8" x14ac:dyDescent="0.3">
      <c r="D147" s="2"/>
    </row>
    <row r="148" spans="4:4" ht="13.8" x14ac:dyDescent="0.3">
      <c r="D148" s="2"/>
    </row>
    <row r="149" spans="4:4" ht="13.8" x14ac:dyDescent="0.3">
      <c r="D149" s="2"/>
    </row>
    <row r="150" spans="4:4" ht="13.8" x14ac:dyDescent="0.3">
      <c r="D150" s="2"/>
    </row>
    <row r="151" spans="4:4" ht="13.8" x14ac:dyDescent="0.3">
      <c r="D151" s="2"/>
    </row>
    <row r="152" spans="4:4" ht="13.8" x14ac:dyDescent="0.3">
      <c r="D152" s="2"/>
    </row>
    <row r="153" spans="4:4" ht="13.8" x14ac:dyDescent="0.3">
      <c r="D153" s="2"/>
    </row>
    <row r="154" spans="4:4" ht="13.8" x14ac:dyDescent="0.3">
      <c r="D154" s="2"/>
    </row>
    <row r="155" spans="4:4" ht="13.8" x14ac:dyDescent="0.3">
      <c r="D155" s="2"/>
    </row>
    <row r="156" spans="4:4" ht="13.8" x14ac:dyDescent="0.3">
      <c r="D156" s="2"/>
    </row>
    <row r="157" spans="4:4" ht="13.8" x14ac:dyDescent="0.3">
      <c r="D157" s="2"/>
    </row>
    <row r="158" spans="4:4" ht="13.8" x14ac:dyDescent="0.3">
      <c r="D158" s="2"/>
    </row>
    <row r="159" spans="4:4" ht="13.8" x14ac:dyDescent="0.3">
      <c r="D159" s="2"/>
    </row>
    <row r="160" spans="4:4" ht="13.8" x14ac:dyDescent="0.3">
      <c r="D160" s="2"/>
    </row>
    <row r="161" spans="4:4" ht="13.8" x14ac:dyDescent="0.3">
      <c r="D161" s="2"/>
    </row>
    <row r="162" spans="4:4" ht="13.8" x14ac:dyDescent="0.3">
      <c r="D162" s="2"/>
    </row>
    <row r="163" spans="4:4" ht="13.8" x14ac:dyDescent="0.3">
      <c r="D163" s="2"/>
    </row>
    <row r="164" spans="4:4" ht="13.8" x14ac:dyDescent="0.3">
      <c r="D164" s="2"/>
    </row>
    <row r="165" spans="4:4" ht="13.8" x14ac:dyDescent="0.3">
      <c r="D165" s="2"/>
    </row>
    <row r="166" spans="4:4" ht="13.8" x14ac:dyDescent="0.3">
      <c r="D166" s="2"/>
    </row>
    <row r="167" spans="4:4" ht="13.8" x14ac:dyDescent="0.3">
      <c r="D167" s="2"/>
    </row>
    <row r="168" spans="4:4" ht="13.8" x14ac:dyDescent="0.3">
      <c r="D168" s="2"/>
    </row>
    <row r="169" spans="4:4" ht="13.8" x14ac:dyDescent="0.3">
      <c r="D169" s="2"/>
    </row>
    <row r="170" spans="4:4" ht="13.8" x14ac:dyDescent="0.3">
      <c r="D170" s="2"/>
    </row>
    <row r="171" spans="4:4" ht="13.8" x14ac:dyDescent="0.3">
      <c r="D171" s="2"/>
    </row>
    <row r="172" spans="4:4" ht="13.8" x14ac:dyDescent="0.3">
      <c r="D172" s="2"/>
    </row>
    <row r="173" spans="4:4" ht="13.8" x14ac:dyDescent="0.3">
      <c r="D173" s="2"/>
    </row>
    <row r="174" spans="4:4" ht="13.8" x14ac:dyDescent="0.3">
      <c r="D174" s="2"/>
    </row>
    <row r="175" spans="4:4" ht="13.8" x14ac:dyDescent="0.3">
      <c r="D175" s="2"/>
    </row>
    <row r="176" spans="4:4" ht="13.8" x14ac:dyDescent="0.3">
      <c r="D176" s="2"/>
    </row>
    <row r="177" spans="4:4" ht="13.8" x14ac:dyDescent="0.3">
      <c r="D177" s="2"/>
    </row>
    <row r="178" spans="4:4" ht="13.8" x14ac:dyDescent="0.3">
      <c r="D178" s="2"/>
    </row>
    <row r="179" spans="4:4" ht="13.8" x14ac:dyDescent="0.3">
      <c r="D179" s="2"/>
    </row>
    <row r="180" spans="4:4" ht="13.8" x14ac:dyDescent="0.3">
      <c r="D180" s="2"/>
    </row>
    <row r="181" spans="4:4" ht="13.8" x14ac:dyDescent="0.3">
      <c r="D181" s="2"/>
    </row>
    <row r="182" spans="4:4" ht="13.8" x14ac:dyDescent="0.3">
      <c r="D182" s="2"/>
    </row>
    <row r="183" spans="4:4" ht="13.8" x14ac:dyDescent="0.3">
      <c r="D183" s="2"/>
    </row>
    <row r="184" spans="4:4" ht="13.8" x14ac:dyDescent="0.3">
      <c r="D184" s="2"/>
    </row>
    <row r="185" spans="4:4" ht="13.8" x14ac:dyDescent="0.3">
      <c r="D185" s="2"/>
    </row>
    <row r="186" spans="4:4" ht="13.8" x14ac:dyDescent="0.3">
      <c r="D186" s="2"/>
    </row>
    <row r="187" spans="4:4" ht="13.8" x14ac:dyDescent="0.3">
      <c r="D187" s="2"/>
    </row>
    <row r="188" spans="4:4" ht="13.8" x14ac:dyDescent="0.3">
      <c r="D188" s="2"/>
    </row>
    <row r="189" spans="4:4" ht="13.8" x14ac:dyDescent="0.3">
      <c r="D189" s="2"/>
    </row>
    <row r="190" spans="4:4" ht="13.8" x14ac:dyDescent="0.3">
      <c r="D190" s="2"/>
    </row>
    <row r="191" spans="4:4" ht="13.8" x14ac:dyDescent="0.3">
      <c r="D191" s="2"/>
    </row>
    <row r="192" spans="4:4" ht="13.8" x14ac:dyDescent="0.3">
      <c r="D192" s="2"/>
    </row>
    <row r="193" spans="4:4" ht="13.8" x14ac:dyDescent="0.3">
      <c r="D193" s="2"/>
    </row>
    <row r="194" spans="4:4" ht="13.8" x14ac:dyDescent="0.3">
      <c r="D194" s="2"/>
    </row>
    <row r="195" spans="4:4" ht="13.8" x14ac:dyDescent="0.3">
      <c r="D195" s="2"/>
    </row>
    <row r="196" spans="4:4" ht="13.8" x14ac:dyDescent="0.3">
      <c r="D196" s="2"/>
    </row>
    <row r="197" spans="4:4" ht="13.8" x14ac:dyDescent="0.3">
      <c r="D197" s="2"/>
    </row>
    <row r="198" spans="4:4" ht="13.8" x14ac:dyDescent="0.3">
      <c r="D198" s="2"/>
    </row>
    <row r="199" spans="4:4" ht="13.8" x14ac:dyDescent="0.3">
      <c r="D199" s="2"/>
    </row>
    <row r="200" spans="4:4" ht="13.8" x14ac:dyDescent="0.3">
      <c r="D200" s="2"/>
    </row>
    <row r="201" spans="4:4" ht="13.8" x14ac:dyDescent="0.3">
      <c r="D201" s="2"/>
    </row>
    <row r="202" spans="4:4" ht="13.8" x14ac:dyDescent="0.3">
      <c r="D202" s="2"/>
    </row>
    <row r="203" spans="4:4" ht="13.8" x14ac:dyDescent="0.3">
      <c r="D203" s="2"/>
    </row>
    <row r="204" spans="4:4" ht="13.8" x14ac:dyDescent="0.3">
      <c r="D204" s="2"/>
    </row>
    <row r="205" spans="4:4" ht="13.8" x14ac:dyDescent="0.3">
      <c r="D205" s="2"/>
    </row>
    <row r="206" spans="4:4" ht="13.8" x14ac:dyDescent="0.3">
      <c r="D206" s="2"/>
    </row>
    <row r="207" spans="4:4" ht="13.8" x14ac:dyDescent="0.3">
      <c r="D207" s="2"/>
    </row>
    <row r="208" spans="4:4" ht="13.8" x14ac:dyDescent="0.3">
      <c r="D208" s="2"/>
    </row>
    <row r="209" spans="4:4" ht="13.8" x14ac:dyDescent="0.3">
      <c r="D209" s="2"/>
    </row>
    <row r="210" spans="4:4" ht="13.8" x14ac:dyDescent="0.3">
      <c r="D210" s="2"/>
    </row>
    <row r="211" spans="4:4" ht="13.8" x14ac:dyDescent="0.3">
      <c r="D211" s="2"/>
    </row>
    <row r="212" spans="4:4" ht="13.8" x14ac:dyDescent="0.3">
      <c r="D212" s="2"/>
    </row>
    <row r="213" spans="4:4" ht="13.8" x14ac:dyDescent="0.3">
      <c r="D213" s="2"/>
    </row>
    <row r="214" spans="4:4" ht="13.8" x14ac:dyDescent="0.3">
      <c r="D214" s="2"/>
    </row>
    <row r="215" spans="4:4" ht="13.8" x14ac:dyDescent="0.3">
      <c r="D215" s="2"/>
    </row>
    <row r="216" spans="4:4" ht="13.8" x14ac:dyDescent="0.3">
      <c r="D216" s="2"/>
    </row>
    <row r="217" spans="4:4" ht="13.8" x14ac:dyDescent="0.3">
      <c r="D217" s="2"/>
    </row>
    <row r="218" spans="4:4" ht="13.8" x14ac:dyDescent="0.3">
      <c r="D218" s="2"/>
    </row>
    <row r="219" spans="4:4" ht="13.8" x14ac:dyDescent="0.3">
      <c r="D219" s="2"/>
    </row>
    <row r="220" spans="4:4" ht="13.8" x14ac:dyDescent="0.3">
      <c r="D220" s="2"/>
    </row>
    <row r="221" spans="4:4" ht="13.8" x14ac:dyDescent="0.3">
      <c r="D221" s="2"/>
    </row>
    <row r="222" spans="4:4" ht="13.8" x14ac:dyDescent="0.3">
      <c r="D222" s="2"/>
    </row>
    <row r="223" spans="4:4" ht="13.8" x14ac:dyDescent="0.3">
      <c r="D223" s="2"/>
    </row>
    <row r="224" spans="4:4" ht="13.8" x14ac:dyDescent="0.3">
      <c r="D224" s="2"/>
    </row>
    <row r="225" spans="4:4" ht="13.8" x14ac:dyDescent="0.3">
      <c r="D225" s="2"/>
    </row>
    <row r="226" spans="4:4" ht="13.8" x14ac:dyDescent="0.3">
      <c r="D226" s="2"/>
    </row>
    <row r="227" spans="4:4" ht="13.8" x14ac:dyDescent="0.3">
      <c r="D227" s="2"/>
    </row>
    <row r="228" spans="4:4" ht="13.8" x14ac:dyDescent="0.3">
      <c r="D228" s="2"/>
    </row>
    <row r="229" spans="4:4" ht="13.8" x14ac:dyDescent="0.3">
      <c r="D229" s="2"/>
    </row>
    <row r="230" spans="4:4" ht="13.8" x14ac:dyDescent="0.3">
      <c r="D230" s="2"/>
    </row>
    <row r="231" spans="4:4" ht="13.8" x14ac:dyDescent="0.3">
      <c r="D231" s="2"/>
    </row>
    <row r="232" spans="4:4" ht="13.8" x14ac:dyDescent="0.3">
      <c r="D232" s="2"/>
    </row>
    <row r="233" spans="4:4" ht="13.8" x14ac:dyDescent="0.3">
      <c r="D233" s="2"/>
    </row>
    <row r="234" spans="4:4" ht="13.8" x14ac:dyDescent="0.3">
      <c r="D234" s="2"/>
    </row>
    <row r="235" spans="4:4" ht="13.8" x14ac:dyDescent="0.3">
      <c r="D235" s="2"/>
    </row>
    <row r="236" spans="4:4" ht="13.8" x14ac:dyDescent="0.3">
      <c r="D236" s="2"/>
    </row>
    <row r="237" spans="4:4" ht="13.8" x14ac:dyDescent="0.3">
      <c r="D237" s="2"/>
    </row>
    <row r="238" spans="4:4" ht="13.8" x14ac:dyDescent="0.3">
      <c r="D238" s="2"/>
    </row>
    <row r="239" spans="4:4" ht="13.8" x14ac:dyDescent="0.3">
      <c r="D239" s="2"/>
    </row>
    <row r="240" spans="4:4" ht="13.8" x14ac:dyDescent="0.3">
      <c r="D240" s="2"/>
    </row>
    <row r="241" spans="4:4" ht="13.8" x14ac:dyDescent="0.3">
      <c r="D241" s="2"/>
    </row>
    <row r="242" spans="4:4" ht="13.8" x14ac:dyDescent="0.3">
      <c r="D242" s="2"/>
    </row>
    <row r="243" spans="4:4" ht="13.8" x14ac:dyDescent="0.3">
      <c r="D243" s="2"/>
    </row>
    <row r="244" spans="4:4" ht="13.8" x14ac:dyDescent="0.3">
      <c r="D244" s="2"/>
    </row>
    <row r="245" spans="4:4" ht="13.8" x14ac:dyDescent="0.3">
      <c r="D245" s="2"/>
    </row>
    <row r="246" spans="4:4" ht="13.8" x14ac:dyDescent="0.3">
      <c r="D246" s="2"/>
    </row>
    <row r="247" spans="4:4" ht="13.8" x14ac:dyDescent="0.3">
      <c r="D247" s="2"/>
    </row>
    <row r="248" spans="4:4" ht="13.8" x14ac:dyDescent="0.3">
      <c r="D248" s="2"/>
    </row>
    <row r="249" spans="4:4" ht="13.8" x14ac:dyDescent="0.3">
      <c r="D249" s="2"/>
    </row>
    <row r="250" spans="4:4" ht="13.8" x14ac:dyDescent="0.3">
      <c r="D250" s="2"/>
    </row>
    <row r="251" spans="4:4" ht="13.8" x14ac:dyDescent="0.3">
      <c r="D251" s="2"/>
    </row>
    <row r="252" spans="4:4" ht="13.8" x14ac:dyDescent="0.3">
      <c r="D252" s="2"/>
    </row>
    <row r="253" spans="4:4" ht="13.8" x14ac:dyDescent="0.3">
      <c r="D253" s="2"/>
    </row>
    <row r="254" spans="4:4" ht="13.8" x14ac:dyDescent="0.3">
      <c r="D254" s="2"/>
    </row>
    <row r="255" spans="4:4" ht="13.8" x14ac:dyDescent="0.3">
      <c r="D255" s="2"/>
    </row>
    <row r="256" spans="4:4" ht="13.8" x14ac:dyDescent="0.3">
      <c r="D256" s="2"/>
    </row>
    <row r="257" spans="4:4" ht="13.8" x14ac:dyDescent="0.3">
      <c r="D257" s="2"/>
    </row>
    <row r="258" spans="4:4" ht="13.8" x14ac:dyDescent="0.3">
      <c r="D258" s="2"/>
    </row>
    <row r="259" spans="4:4" ht="13.8" x14ac:dyDescent="0.3">
      <c r="D259" s="2"/>
    </row>
    <row r="260" spans="4:4" ht="13.8" x14ac:dyDescent="0.3">
      <c r="D260" s="2"/>
    </row>
    <row r="261" spans="4:4" ht="13.8" x14ac:dyDescent="0.3">
      <c r="D261" s="2"/>
    </row>
    <row r="262" spans="4:4" ht="13.8" x14ac:dyDescent="0.3">
      <c r="D262" s="2"/>
    </row>
    <row r="263" spans="4:4" ht="13.8" x14ac:dyDescent="0.3">
      <c r="D263" s="2"/>
    </row>
    <row r="264" spans="4:4" ht="13.8" x14ac:dyDescent="0.3">
      <c r="D264" s="2"/>
    </row>
    <row r="265" spans="4:4" ht="13.8" x14ac:dyDescent="0.3">
      <c r="D265" s="2"/>
    </row>
    <row r="266" spans="4:4" ht="13.8" x14ac:dyDescent="0.3">
      <c r="D266" s="2"/>
    </row>
    <row r="267" spans="4:4" ht="13.8" x14ac:dyDescent="0.3">
      <c r="D267" s="2"/>
    </row>
    <row r="268" spans="4:4" ht="13.8" x14ac:dyDescent="0.3">
      <c r="D268" s="2"/>
    </row>
    <row r="269" spans="4:4" ht="13.8" x14ac:dyDescent="0.3">
      <c r="D269" s="2"/>
    </row>
    <row r="270" spans="4:4" ht="13.8" x14ac:dyDescent="0.3">
      <c r="D270" s="2"/>
    </row>
    <row r="271" spans="4:4" ht="13.8" x14ac:dyDescent="0.3">
      <c r="D271" s="2"/>
    </row>
    <row r="272" spans="4:4" ht="13.8" x14ac:dyDescent="0.3">
      <c r="D272" s="2"/>
    </row>
    <row r="273" spans="4:4" ht="13.8" x14ac:dyDescent="0.3">
      <c r="D273" s="2"/>
    </row>
    <row r="274" spans="4:4" ht="13.8" x14ac:dyDescent="0.3">
      <c r="D274" s="2"/>
    </row>
    <row r="275" spans="4:4" ht="13.8" x14ac:dyDescent="0.3">
      <c r="D275" s="2"/>
    </row>
    <row r="276" spans="4:4" ht="13.8" x14ac:dyDescent="0.3">
      <c r="D276" s="2"/>
    </row>
    <row r="277" spans="4:4" ht="13.8" x14ac:dyDescent="0.3">
      <c r="D277" s="2"/>
    </row>
    <row r="278" spans="4:4" ht="13.8" x14ac:dyDescent="0.3">
      <c r="D278" s="2"/>
    </row>
    <row r="279" spans="4:4" ht="13.8" x14ac:dyDescent="0.3">
      <c r="D279" s="2"/>
    </row>
    <row r="280" spans="4:4" ht="13.8" x14ac:dyDescent="0.3">
      <c r="D280" s="2"/>
    </row>
    <row r="281" spans="4:4" ht="13.8" x14ac:dyDescent="0.3">
      <c r="D281" s="2"/>
    </row>
    <row r="282" spans="4:4" ht="13.8" x14ac:dyDescent="0.3">
      <c r="D282" s="2"/>
    </row>
    <row r="283" spans="4:4" ht="13.8" x14ac:dyDescent="0.3">
      <c r="D283" s="2"/>
    </row>
    <row r="284" spans="4:4" ht="13.8" x14ac:dyDescent="0.3">
      <c r="D284" s="2"/>
    </row>
    <row r="285" spans="4:4" ht="13.8" x14ac:dyDescent="0.3">
      <c r="D285" s="2"/>
    </row>
    <row r="286" spans="4:4" ht="13.8" x14ac:dyDescent="0.3">
      <c r="D286" s="2"/>
    </row>
    <row r="287" spans="4:4" ht="13.8" x14ac:dyDescent="0.3">
      <c r="D287" s="2"/>
    </row>
    <row r="288" spans="4:4" ht="13.8" x14ac:dyDescent="0.3">
      <c r="D288" s="2"/>
    </row>
    <row r="289" spans="4:4" ht="13.8" x14ac:dyDescent="0.3">
      <c r="D289" s="2"/>
    </row>
    <row r="290" spans="4:4" ht="13.8" x14ac:dyDescent="0.3">
      <c r="D290" s="2"/>
    </row>
    <row r="291" spans="4:4" ht="13.8" x14ac:dyDescent="0.3">
      <c r="D291" s="2"/>
    </row>
    <row r="292" spans="4:4" ht="13.8" x14ac:dyDescent="0.3">
      <c r="D292" s="2"/>
    </row>
    <row r="293" spans="4:4" ht="13.8" x14ac:dyDescent="0.3">
      <c r="D293" s="2"/>
    </row>
    <row r="294" spans="4:4" ht="13.8" x14ac:dyDescent="0.3">
      <c r="D294" s="2"/>
    </row>
    <row r="295" spans="4:4" ht="13.8" x14ac:dyDescent="0.3">
      <c r="D295" s="2"/>
    </row>
    <row r="296" spans="4:4" ht="13.8" x14ac:dyDescent="0.3">
      <c r="D296" s="2"/>
    </row>
    <row r="297" spans="4:4" ht="13.8" x14ac:dyDescent="0.3">
      <c r="D297" s="2"/>
    </row>
    <row r="298" spans="4:4" ht="13.8" x14ac:dyDescent="0.3">
      <c r="D298" s="2"/>
    </row>
    <row r="299" spans="4:4" ht="13.8" x14ac:dyDescent="0.3">
      <c r="D299" s="2"/>
    </row>
    <row r="300" spans="4:4" ht="13.8" x14ac:dyDescent="0.3">
      <c r="D300" s="2"/>
    </row>
    <row r="301" spans="4:4" ht="13.8" x14ac:dyDescent="0.3">
      <c r="D301" s="2"/>
    </row>
    <row r="302" spans="4:4" ht="13.8" x14ac:dyDescent="0.3">
      <c r="D302" s="2"/>
    </row>
    <row r="303" spans="4:4" ht="13.8" x14ac:dyDescent="0.3">
      <c r="D303" s="2"/>
    </row>
    <row r="304" spans="4:4" ht="13.8" x14ac:dyDescent="0.3">
      <c r="D304" s="2"/>
    </row>
    <row r="305" spans="4:4" ht="13.8" x14ac:dyDescent="0.3">
      <c r="D305" s="2"/>
    </row>
    <row r="306" spans="4:4" ht="13.8" x14ac:dyDescent="0.3">
      <c r="D306" s="2"/>
    </row>
    <row r="307" spans="4:4" ht="13.8" x14ac:dyDescent="0.3">
      <c r="D307" s="2"/>
    </row>
    <row r="308" spans="4:4" ht="13.8" x14ac:dyDescent="0.3">
      <c r="D308" s="2"/>
    </row>
    <row r="309" spans="4:4" ht="13.8" x14ac:dyDescent="0.3">
      <c r="D309" s="2"/>
    </row>
    <row r="310" spans="4:4" ht="13.8" x14ac:dyDescent="0.3">
      <c r="D310" s="2"/>
    </row>
    <row r="311" spans="4:4" ht="13.8" x14ac:dyDescent="0.3">
      <c r="D311" s="2"/>
    </row>
    <row r="312" spans="4:4" ht="13.8" x14ac:dyDescent="0.3">
      <c r="D312" s="2"/>
    </row>
    <row r="313" spans="4:4" ht="13.8" x14ac:dyDescent="0.3">
      <c r="D313" s="2"/>
    </row>
    <row r="314" spans="4:4" ht="13.8" x14ac:dyDescent="0.3">
      <c r="D314" s="2"/>
    </row>
    <row r="315" spans="4:4" ht="13.8" x14ac:dyDescent="0.3">
      <c r="D315" s="2"/>
    </row>
    <row r="316" spans="4:4" ht="13.8" x14ac:dyDescent="0.3">
      <c r="D316" s="2"/>
    </row>
    <row r="317" spans="4:4" ht="13.8" x14ac:dyDescent="0.3">
      <c r="D317" s="2"/>
    </row>
    <row r="318" spans="4:4" ht="13.8" x14ac:dyDescent="0.3">
      <c r="D318" s="2"/>
    </row>
    <row r="319" spans="4:4" ht="13.8" x14ac:dyDescent="0.3">
      <c r="D319" s="2"/>
    </row>
    <row r="320" spans="4:4" ht="13.8" x14ac:dyDescent="0.3">
      <c r="D320" s="2"/>
    </row>
    <row r="321" spans="4:4" ht="13.8" x14ac:dyDescent="0.3">
      <c r="D321" s="2"/>
    </row>
    <row r="322" spans="4:4" ht="13.8" x14ac:dyDescent="0.3">
      <c r="D322" s="2"/>
    </row>
    <row r="323" spans="4:4" ht="13.8" x14ac:dyDescent="0.3">
      <c r="D323" s="2"/>
    </row>
    <row r="324" spans="4:4" ht="13.8" x14ac:dyDescent="0.3">
      <c r="D324" s="2"/>
    </row>
    <row r="325" spans="4:4" ht="13.8" x14ac:dyDescent="0.3">
      <c r="D325" s="2"/>
    </row>
    <row r="326" spans="4:4" ht="13.8" x14ac:dyDescent="0.3">
      <c r="D326" s="2"/>
    </row>
    <row r="327" spans="4:4" ht="13.8" x14ac:dyDescent="0.3">
      <c r="D327" s="2"/>
    </row>
    <row r="328" spans="4:4" ht="13.8" x14ac:dyDescent="0.3">
      <c r="D328" s="2"/>
    </row>
    <row r="329" spans="4:4" ht="13.8" x14ac:dyDescent="0.3">
      <c r="D329" s="2"/>
    </row>
    <row r="330" spans="4:4" ht="13.8" x14ac:dyDescent="0.3">
      <c r="D330" s="2"/>
    </row>
    <row r="331" spans="4:4" ht="13.8" x14ac:dyDescent="0.3">
      <c r="D331" s="2"/>
    </row>
    <row r="332" spans="4:4" ht="13.8" x14ac:dyDescent="0.3">
      <c r="D332" s="2"/>
    </row>
    <row r="333" spans="4:4" ht="13.8" x14ac:dyDescent="0.3">
      <c r="D333" s="2"/>
    </row>
    <row r="334" spans="4:4" ht="13.8" x14ac:dyDescent="0.3">
      <c r="D334" s="2"/>
    </row>
    <row r="335" spans="4:4" ht="13.8" x14ac:dyDescent="0.3">
      <c r="D335" s="2"/>
    </row>
    <row r="336" spans="4:4" ht="13.8" x14ac:dyDescent="0.3">
      <c r="D336" s="2"/>
    </row>
    <row r="337" spans="4:4" ht="13.8" x14ac:dyDescent="0.3">
      <c r="D337" s="2"/>
    </row>
    <row r="338" spans="4:4" ht="13.8" x14ac:dyDescent="0.3">
      <c r="D338" s="2"/>
    </row>
    <row r="339" spans="4:4" ht="13.8" x14ac:dyDescent="0.3">
      <c r="D339" s="2"/>
    </row>
    <row r="340" spans="4:4" ht="13.8" x14ac:dyDescent="0.3">
      <c r="D340" s="2"/>
    </row>
    <row r="341" spans="4:4" ht="13.8" x14ac:dyDescent="0.3">
      <c r="D341" s="2"/>
    </row>
    <row r="342" spans="4:4" ht="13.8" x14ac:dyDescent="0.3">
      <c r="D342" s="2"/>
    </row>
    <row r="343" spans="4:4" ht="13.8" x14ac:dyDescent="0.3">
      <c r="D343" s="2"/>
    </row>
    <row r="344" spans="4:4" ht="13.8" x14ac:dyDescent="0.3">
      <c r="D344" s="2"/>
    </row>
    <row r="345" spans="4:4" ht="13.8" x14ac:dyDescent="0.3">
      <c r="D345" s="2"/>
    </row>
    <row r="346" spans="4:4" ht="13.8" x14ac:dyDescent="0.3">
      <c r="D346" s="2"/>
    </row>
    <row r="347" spans="4:4" ht="13.8" x14ac:dyDescent="0.3">
      <c r="D347" s="2"/>
    </row>
    <row r="348" spans="4:4" ht="13.8" x14ac:dyDescent="0.3">
      <c r="D348" s="2"/>
    </row>
    <row r="349" spans="4:4" ht="13.8" x14ac:dyDescent="0.3">
      <c r="D349" s="2"/>
    </row>
    <row r="350" spans="4:4" ht="13.8" x14ac:dyDescent="0.3">
      <c r="D350" s="2"/>
    </row>
    <row r="351" spans="4:4" ht="13.8" x14ac:dyDescent="0.3">
      <c r="D351" s="2"/>
    </row>
    <row r="352" spans="4:4" ht="13.8" x14ac:dyDescent="0.3">
      <c r="D352" s="2"/>
    </row>
    <row r="353" spans="4:4" ht="13.8" x14ac:dyDescent="0.3">
      <c r="D353" s="2"/>
    </row>
    <row r="354" spans="4:4" ht="13.8" x14ac:dyDescent="0.3">
      <c r="D354" s="2"/>
    </row>
    <row r="355" spans="4:4" ht="13.8" x14ac:dyDescent="0.3">
      <c r="D355" s="2"/>
    </row>
    <row r="356" spans="4:4" ht="13.8" x14ac:dyDescent="0.3">
      <c r="D356" s="2"/>
    </row>
    <row r="357" spans="4:4" ht="13.8" x14ac:dyDescent="0.3">
      <c r="D357" s="2"/>
    </row>
    <row r="358" spans="4:4" ht="13.8" x14ac:dyDescent="0.3">
      <c r="D358" s="2"/>
    </row>
    <row r="359" spans="4:4" ht="13.8" x14ac:dyDescent="0.3">
      <c r="D359" s="2"/>
    </row>
    <row r="360" spans="4:4" ht="13.8" x14ac:dyDescent="0.3">
      <c r="D360" s="2"/>
    </row>
    <row r="361" spans="4:4" ht="13.8" x14ac:dyDescent="0.3">
      <c r="D361" s="2"/>
    </row>
    <row r="362" spans="4:4" ht="13.8" x14ac:dyDescent="0.3">
      <c r="D362" s="2"/>
    </row>
    <row r="363" spans="4:4" ht="13.8" x14ac:dyDescent="0.3">
      <c r="D363" s="2"/>
    </row>
    <row r="364" spans="4:4" ht="13.8" x14ac:dyDescent="0.3">
      <c r="D364" s="2"/>
    </row>
    <row r="365" spans="4:4" ht="13.8" x14ac:dyDescent="0.3">
      <c r="D365" s="2"/>
    </row>
    <row r="366" spans="4:4" ht="13.8" x14ac:dyDescent="0.3">
      <c r="D366" s="2"/>
    </row>
    <row r="367" spans="4:4" ht="13.8" x14ac:dyDescent="0.3">
      <c r="D367" s="2"/>
    </row>
    <row r="368" spans="4:4" ht="13.8" x14ac:dyDescent="0.3">
      <c r="D368" s="2"/>
    </row>
    <row r="369" spans="4:4" ht="13.8" x14ac:dyDescent="0.3">
      <c r="D369" s="2"/>
    </row>
    <row r="370" spans="4:4" ht="13.8" x14ac:dyDescent="0.3">
      <c r="D370" s="2"/>
    </row>
    <row r="371" spans="4:4" ht="13.8" x14ac:dyDescent="0.3">
      <c r="D371" s="2"/>
    </row>
    <row r="372" spans="4:4" ht="13.8" x14ac:dyDescent="0.3">
      <c r="D372" s="2"/>
    </row>
    <row r="373" spans="4:4" ht="13.8" x14ac:dyDescent="0.3">
      <c r="D373" s="2"/>
    </row>
    <row r="374" spans="4:4" ht="13.8" x14ac:dyDescent="0.3">
      <c r="D374" s="2"/>
    </row>
    <row r="375" spans="4:4" ht="13.8" x14ac:dyDescent="0.3">
      <c r="D375" s="2"/>
    </row>
    <row r="376" spans="4:4" ht="13.8" x14ac:dyDescent="0.3">
      <c r="D376" s="2"/>
    </row>
    <row r="377" spans="4:4" ht="13.8" x14ac:dyDescent="0.3">
      <c r="D377" s="2"/>
    </row>
    <row r="378" spans="4:4" ht="13.8" x14ac:dyDescent="0.3">
      <c r="D378" s="2"/>
    </row>
    <row r="379" spans="4:4" ht="13.8" x14ac:dyDescent="0.3">
      <c r="D379" s="2"/>
    </row>
    <row r="380" spans="4:4" ht="13.8" x14ac:dyDescent="0.3">
      <c r="D380" s="2"/>
    </row>
    <row r="381" spans="4:4" ht="13.8" x14ac:dyDescent="0.3">
      <c r="D381" s="2"/>
    </row>
    <row r="382" spans="4:4" ht="13.8" x14ac:dyDescent="0.3">
      <c r="D382" s="2"/>
    </row>
    <row r="383" spans="4:4" ht="13.8" x14ac:dyDescent="0.3">
      <c r="D383" s="2"/>
    </row>
    <row r="384" spans="4:4" ht="13.8" x14ac:dyDescent="0.3">
      <c r="D384" s="2"/>
    </row>
    <row r="385" spans="4:4" ht="13.8" x14ac:dyDescent="0.3">
      <c r="D385" s="2"/>
    </row>
    <row r="386" spans="4:4" ht="13.8" x14ac:dyDescent="0.3">
      <c r="D386" s="2"/>
    </row>
    <row r="387" spans="4:4" ht="13.8" x14ac:dyDescent="0.3">
      <c r="D387" s="2"/>
    </row>
    <row r="388" spans="4:4" ht="13.8" x14ac:dyDescent="0.3">
      <c r="D388" s="2"/>
    </row>
    <row r="389" spans="4:4" ht="13.8" x14ac:dyDescent="0.3">
      <c r="D389" s="2"/>
    </row>
    <row r="390" spans="4:4" ht="13.8" x14ac:dyDescent="0.3">
      <c r="D390" s="2"/>
    </row>
    <row r="391" spans="4:4" ht="13.8" x14ac:dyDescent="0.3">
      <c r="D391" s="2"/>
    </row>
    <row r="392" spans="4:4" ht="13.8" x14ac:dyDescent="0.3">
      <c r="D392" s="2"/>
    </row>
    <row r="393" spans="4:4" ht="13.8" x14ac:dyDescent="0.3">
      <c r="D393" s="2"/>
    </row>
    <row r="394" spans="4:4" ht="13.8" x14ac:dyDescent="0.3">
      <c r="D394" s="2"/>
    </row>
    <row r="395" spans="4:4" ht="13.8" x14ac:dyDescent="0.3">
      <c r="D395" s="2"/>
    </row>
    <row r="396" spans="4:4" ht="13.8" x14ac:dyDescent="0.3">
      <c r="D396" s="2"/>
    </row>
    <row r="397" spans="4:4" ht="13.8" x14ac:dyDescent="0.3">
      <c r="D397" s="2"/>
    </row>
    <row r="398" spans="4:4" ht="13.8" x14ac:dyDescent="0.3">
      <c r="D398" s="2"/>
    </row>
    <row r="399" spans="4:4" ht="13.8" x14ac:dyDescent="0.3">
      <c r="D399" s="2"/>
    </row>
    <row r="400" spans="4:4" ht="13.8" x14ac:dyDescent="0.3">
      <c r="D400" s="2"/>
    </row>
    <row r="401" spans="4:4" ht="13.8" x14ac:dyDescent="0.3">
      <c r="D401" s="2"/>
    </row>
    <row r="402" spans="4:4" ht="13.8" x14ac:dyDescent="0.3">
      <c r="D402" s="2"/>
    </row>
    <row r="403" spans="4:4" ht="13.8" x14ac:dyDescent="0.3">
      <c r="D403" s="2"/>
    </row>
    <row r="404" spans="4:4" ht="13.8" x14ac:dyDescent="0.3">
      <c r="D404" s="2"/>
    </row>
    <row r="405" spans="4:4" ht="13.8" x14ac:dyDescent="0.3">
      <c r="D405" s="2"/>
    </row>
    <row r="406" spans="4:4" ht="13.8" x14ac:dyDescent="0.3">
      <c r="D406" s="2"/>
    </row>
    <row r="407" spans="4:4" ht="13.8" x14ac:dyDescent="0.3">
      <c r="D407" s="2"/>
    </row>
    <row r="408" spans="4:4" ht="13.8" x14ac:dyDescent="0.3">
      <c r="D408" s="2"/>
    </row>
    <row r="409" spans="4:4" ht="13.8" x14ac:dyDescent="0.3">
      <c r="D409" s="2"/>
    </row>
    <row r="410" spans="4:4" ht="13.8" x14ac:dyDescent="0.3">
      <c r="D410" s="2"/>
    </row>
    <row r="411" spans="4:4" ht="13.8" x14ac:dyDescent="0.3">
      <c r="D411" s="2"/>
    </row>
    <row r="412" spans="4:4" ht="13.8" x14ac:dyDescent="0.3">
      <c r="D412" s="2"/>
    </row>
    <row r="413" spans="4:4" ht="13.8" x14ac:dyDescent="0.3">
      <c r="D413" s="2"/>
    </row>
    <row r="414" spans="4:4" ht="13.8" x14ac:dyDescent="0.3">
      <c r="D414" s="2"/>
    </row>
    <row r="415" spans="4:4" ht="13.8" x14ac:dyDescent="0.3">
      <c r="D415" s="2"/>
    </row>
    <row r="416" spans="4:4" ht="13.8" x14ac:dyDescent="0.3">
      <c r="D416" s="2"/>
    </row>
    <row r="417" spans="4:4" ht="13.8" x14ac:dyDescent="0.3">
      <c r="D417" s="2"/>
    </row>
    <row r="418" spans="4:4" ht="13.8" x14ac:dyDescent="0.3">
      <c r="D418" s="2"/>
    </row>
    <row r="419" spans="4:4" ht="13.8" x14ac:dyDescent="0.3">
      <c r="D419" s="2"/>
    </row>
    <row r="420" spans="4:4" ht="13.8" x14ac:dyDescent="0.3">
      <c r="D420" s="2"/>
    </row>
    <row r="421" spans="4:4" ht="13.8" x14ac:dyDescent="0.3">
      <c r="D421" s="2"/>
    </row>
    <row r="422" spans="4:4" ht="13.8" x14ac:dyDescent="0.3">
      <c r="D422" s="2"/>
    </row>
    <row r="423" spans="4:4" ht="13.8" x14ac:dyDescent="0.3">
      <c r="D423" s="2"/>
    </row>
    <row r="424" spans="4:4" ht="13.8" x14ac:dyDescent="0.3">
      <c r="D424" s="2"/>
    </row>
    <row r="425" spans="4:4" ht="13.8" x14ac:dyDescent="0.3">
      <c r="D425" s="2"/>
    </row>
    <row r="426" spans="4:4" ht="13.8" x14ac:dyDescent="0.3">
      <c r="D426" s="2"/>
    </row>
    <row r="427" spans="4:4" ht="13.8" x14ac:dyDescent="0.3">
      <c r="D427" s="2"/>
    </row>
    <row r="428" spans="4:4" ht="13.8" x14ac:dyDescent="0.3">
      <c r="D428" s="2"/>
    </row>
    <row r="429" spans="4:4" ht="13.8" x14ac:dyDescent="0.3">
      <c r="D429" s="2"/>
    </row>
    <row r="430" spans="4:4" ht="13.8" x14ac:dyDescent="0.3">
      <c r="D430" s="2"/>
    </row>
    <row r="431" spans="4:4" ht="13.8" x14ac:dyDescent="0.3">
      <c r="D431" s="2"/>
    </row>
    <row r="432" spans="4:4" ht="13.8" x14ac:dyDescent="0.3">
      <c r="D432" s="2"/>
    </row>
    <row r="433" spans="4:4" ht="13.8" x14ac:dyDescent="0.3">
      <c r="D433" s="2"/>
    </row>
    <row r="434" spans="4:4" ht="13.8" x14ac:dyDescent="0.3">
      <c r="D434" s="2"/>
    </row>
    <row r="435" spans="4:4" ht="13.8" x14ac:dyDescent="0.3">
      <c r="D435" s="2"/>
    </row>
    <row r="436" spans="4:4" ht="13.8" x14ac:dyDescent="0.3">
      <c r="D436" s="2"/>
    </row>
    <row r="437" spans="4:4" ht="13.8" x14ac:dyDescent="0.3">
      <c r="D437" s="2"/>
    </row>
    <row r="438" spans="4:4" ht="13.8" x14ac:dyDescent="0.3">
      <c r="D438" s="2"/>
    </row>
    <row r="439" spans="4:4" ht="13.8" x14ac:dyDescent="0.3">
      <c r="D439" s="2"/>
    </row>
    <row r="440" spans="4:4" ht="13.8" x14ac:dyDescent="0.3">
      <c r="D440" s="2"/>
    </row>
    <row r="441" spans="4:4" ht="13.8" x14ac:dyDescent="0.3">
      <c r="D441" s="2"/>
    </row>
    <row r="442" spans="4:4" ht="13.8" x14ac:dyDescent="0.3">
      <c r="D442" s="2"/>
    </row>
    <row r="443" spans="4:4" ht="13.8" x14ac:dyDescent="0.3">
      <c r="D443" s="2"/>
    </row>
    <row r="444" spans="4:4" ht="13.8" x14ac:dyDescent="0.3">
      <c r="D444" s="2"/>
    </row>
    <row r="445" spans="4:4" ht="13.8" x14ac:dyDescent="0.3">
      <c r="D445" s="2"/>
    </row>
    <row r="446" spans="4:4" ht="13.8" x14ac:dyDescent="0.3">
      <c r="D446" s="2"/>
    </row>
    <row r="447" spans="4:4" ht="13.8" x14ac:dyDescent="0.3">
      <c r="D447" s="2"/>
    </row>
    <row r="448" spans="4:4" ht="13.8" x14ac:dyDescent="0.3">
      <c r="D448" s="2"/>
    </row>
    <row r="449" spans="4:4" ht="13.8" x14ac:dyDescent="0.3">
      <c r="D449" s="2"/>
    </row>
    <row r="450" spans="4:4" ht="13.8" x14ac:dyDescent="0.3">
      <c r="D450" s="2"/>
    </row>
    <row r="451" spans="4:4" ht="13.8" x14ac:dyDescent="0.3">
      <c r="D451" s="2"/>
    </row>
    <row r="452" spans="4:4" ht="13.8" x14ac:dyDescent="0.3">
      <c r="D452" s="2"/>
    </row>
    <row r="453" spans="4:4" ht="13.8" x14ac:dyDescent="0.3">
      <c r="D453" s="2"/>
    </row>
    <row r="454" spans="4:4" ht="13.8" x14ac:dyDescent="0.3">
      <c r="D454" s="2"/>
    </row>
    <row r="455" spans="4:4" ht="13.8" x14ac:dyDescent="0.3">
      <c r="D455" s="2"/>
    </row>
    <row r="456" spans="4:4" ht="13.8" x14ac:dyDescent="0.3">
      <c r="D456" s="2"/>
    </row>
    <row r="457" spans="4:4" ht="13.8" x14ac:dyDescent="0.3">
      <c r="D457" s="2"/>
    </row>
    <row r="458" spans="4:4" ht="13.8" x14ac:dyDescent="0.3">
      <c r="D458" s="2"/>
    </row>
    <row r="459" spans="4:4" ht="13.8" x14ac:dyDescent="0.3">
      <c r="D459" s="2"/>
    </row>
    <row r="460" spans="4:4" ht="13.8" x14ac:dyDescent="0.3">
      <c r="D460" s="2"/>
    </row>
    <row r="461" spans="4:4" ht="13.8" x14ac:dyDescent="0.3">
      <c r="D461" s="2"/>
    </row>
    <row r="462" spans="4:4" ht="13.8" x14ac:dyDescent="0.3">
      <c r="D462" s="2"/>
    </row>
    <row r="463" spans="4:4" ht="13.8" x14ac:dyDescent="0.3">
      <c r="D463" s="2"/>
    </row>
    <row r="464" spans="4:4" ht="13.8" x14ac:dyDescent="0.3">
      <c r="D464" s="2"/>
    </row>
    <row r="465" spans="4:4" ht="13.8" x14ac:dyDescent="0.3">
      <c r="D465" s="2"/>
    </row>
    <row r="466" spans="4:4" ht="13.8" x14ac:dyDescent="0.3">
      <c r="D466" s="2"/>
    </row>
    <row r="467" spans="4:4" ht="13.8" x14ac:dyDescent="0.3">
      <c r="D467" s="2"/>
    </row>
    <row r="468" spans="4:4" ht="13.8" x14ac:dyDescent="0.3">
      <c r="D468" s="2"/>
    </row>
    <row r="469" spans="4:4" ht="13.8" x14ac:dyDescent="0.3">
      <c r="D469" s="2"/>
    </row>
    <row r="470" spans="4:4" ht="13.8" x14ac:dyDescent="0.3">
      <c r="D470" s="2"/>
    </row>
    <row r="471" spans="4:4" ht="13.8" x14ac:dyDescent="0.3">
      <c r="D471" s="2"/>
    </row>
    <row r="472" spans="4:4" ht="13.8" x14ac:dyDescent="0.3">
      <c r="D472" s="2"/>
    </row>
    <row r="473" spans="4:4" ht="13.8" x14ac:dyDescent="0.3">
      <c r="D473" s="2"/>
    </row>
    <row r="474" spans="4:4" ht="13.8" x14ac:dyDescent="0.3">
      <c r="D474" s="2"/>
    </row>
    <row r="475" spans="4:4" ht="13.8" x14ac:dyDescent="0.3">
      <c r="D475" s="2"/>
    </row>
    <row r="476" spans="4:4" ht="13.8" x14ac:dyDescent="0.3">
      <c r="D476" s="2"/>
    </row>
    <row r="477" spans="4:4" ht="13.8" x14ac:dyDescent="0.3">
      <c r="D477" s="2"/>
    </row>
    <row r="478" spans="4:4" ht="13.8" x14ac:dyDescent="0.3">
      <c r="D478" s="2"/>
    </row>
    <row r="479" spans="4:4" ht="13.8" x14ac:dyDescent="0.3">
      <c r="D479" s="2"/>
    </row>
    <row r="480" spans="4:4" ht="13.8" x14ac:dyDescent="0.3">
      <c r="D480" s="2"/>
    </row>
    <row r="481" spans="4:4" ht="13.8" x14ac:dyDescent="0.3">
      <c r="D481" s="2"/>
    </row>
    <row r="482" spans="4:4" ht="13.8" x14ac:dyDescent="0.3">
      <c r="D482" s="2"/>
    </row>
    <row r="483" spans="4:4" ht="13.8" x14ac:dyDescent="0.3">
      <c r="D483" s="2"/>
    </row>
    <row r="484" spans="4:4" ht="13.8" x14ac:dyDescent="0.3">
      <c r="D484" s="2"/>
    </row>
    <row r="485" spans="4:4" ht="13.8" x14ac:dyDescent="0.3">
      <c r="D485" s="2"/>
    </row>
    <row r="486" spans="4:4" ht="13.8" x14ac:dyDescent="0.3">
      <c r="D486" s="2"/>
    </row>
    <row r="487" spans="4:4" ht="13.8" x14ac:dyDescent="0.3">
      <c r="D487" s="2"/>
    </row>
    <row r="488" spans="4:4" ht="13.8" x14ac:dyDescent="0.3">
      <c r="D488" s="2"/>
    </row>
    <row r="489" spans="4:4" ht="13.8" x14ac:dyDescent="0.3">
      <c r="D489" s="2"/>
    </row>
    <row r="490" spans="4:4" ht="13.8" x14ac:dyDescent="0.3">
      <c r="D490" s="2"/>
    </row>
    <row r="491" spans="4:4" ht="13.8" x14ac:dyDescent="0.3">
      <c r="D491" s="2"/>
    </row>
    <row r="492" spans="4:4" ht="13.8" x14ac:dyDescent="0.3">
      <c r="D492" s="2"/>
    </row>
    <row r="493" spans="4:4" ht="13.8" x14ac:dyDescent="0.3">
      <c r="D493" s="2"/>
    </row>
    <row r="494" spans="4:4" ht="13.8" x14ac:dyDescent="0.3">
      <c r="D494" s="2"/>
    </row>
    <row r="495" spans="4:4" ht="13.8" x14ac:dyDescent="0.3">
      <c r="D495" s="2"/>
    </row>
    <row r="496" spans="4:4" ht="13.8" x14ac:dyDescent="0.3">
      <c r="D496" s="2"/>
    </row>
    <row r="497" spans="4:4" ht="13.8" x14ac:dyDescent="0.3">
      <c r="D497" s="2"/>
    </row>
    <row r="498" spans="4:4" ht="13.8" x14ac:dyDescent="0.3">
      <c r="D498" s="2"/>
    </row>
    <row r="499" spans="4:4" ht="13.8" x14ac:dyDescent="0.3">
      <c r="D499" s="2"/>
    </row>
    <row r="500" spans="4:4" ht="13.8" x14ac:dyDescent="0.3">
      <c r="D500" s="2"/>
    </row>
    <row r="501" spans="4:4" ht="13.8" x14ac:dyDescent="0.3">
      <c r="D501" s="2"/>
    </row>
    <row r="502" spans="4:4" ht="13.8" x14ac:dyDescent="0.3">
      <c r="D502" s="2"/>
    </row>
    <row r="503" spans="4:4" ht="13.8" x14ac:dyDescent="0.3">
      <c r="D503" s="2"/>
    </row>
    <row r="504" spans="4:4" ht="13.8" x14ac:dyDescent="0.3">
      <c r="D504" s="2"/>
    </row>
    <row r="505" spans="4:4" ht="13.8" x14ac:dyDescent="0.3">
      <c r="D505" s="2"/>
    </row>
    <row r="506" spans="4:4" ht="13.8" x14ac:dyDescent="0.3">
      <c r="D506" s="2"/>
    </row>
    <row r="507" spans="4:4" ht="13.8" x14ac:dyDescent="0.3">
      <c r="D507" s="2"/>
    </row>
    <row r="508" spans="4:4" ht="13.8" x14ac:dyDescent="0.3">
      <c r="D508" s="2"/>
    </row>
    <row r="509" spans="4:4" ht="13.8" x14ac:dyDescent="0.3">
      <c r="D509" s="2"/>
    </row>
    <row r="510" spans="4:4" ht="13.8" x14ac:dyDescent="0.3">
      <c r="D510" s="2"/>
    </row>
    <row r="511" spans="4:4" ht="13.8" x14ac:dyDescent="0.3">
      <c r="D511" s="2"/>
    </row>
    <row r="512" spans="4:4" ht="13.8" x14ac:dyDescent="0.3">
      <c r="D512" s="2"/>
    </row>
    <row r="513" spans="4:4" ht="13.8" x14ac:dyDescent="0.3">
      <c r="D513" s="2"/>
    </row>
    <row r="514" spans="4:4" ht="13.8" x14ac:dyDescent="0.3">
      <c r="D514" s="2"/>
    </row>
    <row r="515" spans="4:4" ht="13.8" x14ac:dyDescent="0.3">
      <c r="D515" s="2"/>
    </row>
    <row r="516" spans="4:4" ht="13.8" x14ac:dyDescent="0.3">
      <c r="D516" s="2"/>
    </row>
    <row r="517" spans="4:4" ht="13.8" x14ac:dyDescent="0.3">
      <c r="D517" s="2"/>
    </row>
    <row r="518" spans="4:4" ht="13.8" x14ac:dyDescent="0.3">
      <c r="D518" s="2"/>
    </row>
    <row r="519" spans="4:4" ht="13.8" x14ac:dyDescent="0.3">
      <c r="D519" s="2"/>
    </row>
    <row r="520" spans="4:4" ht="13.8" x14ac:dyDescent="0.3">
      <c r="D520" s="2"/>
    </row>
    <row r="521" spans="4:4" ht="13.8" x14ac:dyDescent="0.3">
      <c r="D521" s="2"/>
    </row>
    <row r="522" spans="4:4" ht="13.8" x14ac:dyDescent="0.3">
      <c r="D522" s="2"/>
    </row>
    <row r="523" spans="4:4" ht="13.8" x14ac:dyDescent="0.3">
      <c r="D523" s="2"/>
    </row>
    <row r="524" spans="4:4" ht="13.8" x14ac:dyDescent="0.3">
      <c r="D524" s="2"/>
    </row>
    <row r="525" spans="4:4" ht="13.8" x14ac:dyDescent="0.3">
      <c r="D525" s="2"/>
    </row>
    <row r="526" spans="4:4" ht="13.8" x14ac:dyDescent="0.3">
      <c r="D526" s="2"/>
    </row>
    <row r="527" spans="4:4" ht="13.8" x14ac:dyDescent="0.3">
      <c r="D527" s="2"/>
    </row>
    <row r="528" spans="4:4" ht="13.8" x14ac:dyDescent="0.3">
      <c r="D528" s="2"/>
    </row>
    <row r="529" spans="4:4" ht="13.8" x14ac:dyDescent="0.3">
      <c r="D529" s="2"/>
    </row>
    <row r="530" spans="4:4" ht="13.8" x14ac:dyDescent="0.3">
      <c r="D530" s="2"/>
    </row>
    <row r="531" spans="4:4" ht="13.8" x14ac:dyDescent="0.3">
      <c r="D531" s="2"/>
    </row>
    <row r="532" spans="4:4" ht="13.8" x14ac:dyDescent="0.3">
      <c r="D532" s="2"/>
    </row>
    <row r="533" spans="4:4" ht="13.8" x14ac:dyDescent="0.3">
      <c r="D533" s="2"/>
    </row>
    <row r="534" spans="4:4" ht="13.8" x14ac:dyDescent="0.3">
      <c r="D534" s="2"/>
    </row>
    <row r="535" spans="4:4" ht="13.8" x14ac:dyDescent="0.3">
      <c r="D535" s="2"/>
    </row>
    <row r="536" spans="4:4" ht="13.8" x14ac:dyDescent="0.3">
      <c r="D536" s="2"/>
    </row>
    <row r="537" spans="4:4" ht="13.8" x14ac:dyDescent="0.3">
      <c r="D537" s="2"/>
    </row>
    <row r="538" spans="4:4" ht="13.8" x14ac:dyDescent="0.3">
      <c r="D538" s="2"/>
    </row>
    <row r="539" spans="4:4" ht="13.8" x14ac:dyDescent="0.3">
      <c r="D539" s="2"/>
    </row>
    <row r="540" spans="4:4" ht="13.8" x14ac:dyDescent="0.3">
      <c r="D540" s="2"/>
    </row>
    <row r="541" spans="4:4" ht="13.8" x14ac:dyDescent="0.3">
      <c r="D541" s="2"/>
    </row>
    <row r="542" spans="4:4" ht="13.8" x14ac:dyDescent="0.3">
      <c r="D542" s="2"/>
    </row>
    <row r="543" spans="4:4" ht="13.8" x14ac:dyDescent="0.3">
      <c r="D543" s="2"/>
    </row>
    <row r="544" spans="4:4" ht="13.8" x14ac:dyDescent="0.3">
      <c r="D544" s="2"/>
    </row>
    <row r="545" spans="4:4" ht="13.8" x14ac:dyDescent="0.3">
      <c r="D545" s="2"/>
    </row>
    <row r="546" spans="4:4" ht="13.8" x14ac:dyDescent="0.3">
      <c r="D546" s="2"/>
    </row>
    <row r="547" spans="4:4" ht="13.8" x14ac:dyDescent="0.3">
      <c r="D547" s="2"/>
    </row>
    <row r="548" spans="4:4" ht="13.8" x14ac:dyDescent="0.3">
      <c r="D548" s="2"/>
    </row>
    <row r="549" spans="4:4" ht="13.8" x14ac:dyDescent="0.3">
      <c r="D549" s="2"/>
    </row>
    <row r="550" spans="4:4" ht="13.8" x14ac:dyDescent="0.3">
      <c r="D550" s="2"/>
    </row>
    <row r="551" spans="4:4" ht="13.8" x14ac:dyDescent="0.3">
      <c r="D551" s="2"/>
    </row>
    <row r="552" spans="4:4" ht="13.8" x14ac:dyDescent="0.3">
      <c r="D552" s="2"/>
    </row>
    <row r="553" spans="4:4" ht="13.8" x14ac:dyDescent="0.3">
      <c r="D553" s="2"/>
    </row>
    <row r="554" spans="4:4" ht="13.8" x14ac:dyDescent="0.3">
      <c r="D554" s="2"/>
    </row>
    <row r="555" spans="4:4" ht="13.8" x14ac:dyDescent="0.3">
      <c r="D555" s="2"/>
    </row>
    <row r="556" spans="4:4" ht="13.8" x14ac:dyDescent="0.3">
      <c r="D556" s="2"/>
    </row>
    <row r="557" spans="4:4" ht="13.8" x14ac:dyDescent="0.3">
      <c r="D557" s="2"/>
    </row>
    <row r="558" spans="4:4" ht="13.8" x14ac:dyDescent="0.3">
      <c r="D558" s="2"/>
    </row>
    <row r="559" spans="4:4" ht="13.8" x14ac:dyDescent="0.3">
      <c r="D559" s="2"/>
    </row>
    <row r="560" spans="4:4" ht="13.8" x14ac:dyDescent="0.3">
      <c r="D560" s="2"/>
    </row>
    <row r="561" spans="4:4" ht="13.8" x14ac:dyDescent="0.3">
      <c r="D561" s="2"/>
    </row>
    <row r="562" spans="4:4" ht="13.8" x14ac:dyDescent="0.3">
      <c r="D562" s="2"/>
    </row>
    <row r="563" spans="4:4" ht="13.8" x14ac:dyDescent="0.3">
      <c r="D563" s="2"/>
    </row>
    <row r="564" spans="4:4" ht="13.8" x14ac:dyDescent="0.3">
      <c r="D564" s="2"/>
    </row>
    <row r="565" spans="4:4" ht="13.8" x14ac:dyDescent="0.3">
      <c r="D565" s="2"/>
    </row>
    <row r="566" spans="4:4" ht="13.8" x14ac:dyDescent="0.3">
      <c r="D566" s="2"/>
    </row>
    <row r="567" spans="4:4" ht="13.8" x14ac:dyDescent="0.3">
      <c r="D567" s="2"/>
    </row>
    <row r="568" spans="4:4" ht="13.8" x14ac:dyDescent="0.3">
      <c r="D568" s="2"/>
    </row>
    <row r="569" spans="4:4" ht="13.8" x14ac:dyDescent="0.3">
      <c r="D569" s="2"/>
    </row>
    <row r="570" spans="4:4" ht="13.8" x14ac:dyDescent="0.3">
      <c r="D570" s="2"/>
    </row>
    <row r="571" spans="4:4" ht="13.8" x14ac:dyDescent="0.3">
      <c r="D571" s="2"/>
    </row>
    <row r="572" spans="4:4" ht="13.8" x14ac:dyDescent="0.3">
      <c r="D572" s="2"/>
    </row>
    <row r="573" spans="4:4" ht="13.8" x14ac:dyDescent="0.3">
      <c r="D573" s="2"/>
    </row>
    <row r="574" spans="4:4" ht="13.8" x14ac:dyDescent="0.3">
      <c r="D574" s="2"/>
    </row>
    <row r="575" spans="4:4" ht="13.8" x14ac:dyDescent="0.3">
      <c r="D575" s="2"/>
    </row>
    <row r="576" spans="4:4" ht="13.8" x14ac:dyDescent="0.3">
      <c r="D576" s="2"/>
    </row>
    <row r="577" spans="4:4" ht="13.8" x14ac:dyDescent="0.3">
      <c r="D577" s="2"/>
    </row>
    <row r="578" spans="4:4" ht="13.8" x14ac:dyDescent="0.3">
      <c r="D578" s="2"/>
    </row>
    <row r="579" spans="4:4" ht="13.8" x14ac:dyDescent="0.3">
      <c r="D579" s="2"/>
    </row>
    <row r="580" spans="4:4" ht="13.8" x14ac:dyDescent="0.3">
      <c r="D580" s="2"/>
    </row>
    <row r="581" spans="4:4" ht="13.8" x14ac:dyDescent="0.3">
      <c r="D581" s="2"/>
    </row>
    <row r="582" spans="4:4" ht="13.8" x14ac:dyDescent="0.3">
      <c r="D582" s="2"/>
    </row>
    <row r="583" spans="4:4" ht="13.8" x14ac:dyDescent="0.3">
      <c r="D583" s="2"/>
    </row>
    <row r="584" spans="4:4" ht="13.8" x14ac:dyDescent="0.3">
      <c r="D584" s="2"/>
    </row>
    <row r="585" spans="4:4" ht="13.8" x14ac:dyDescent="0.3">
      <c r="D585" s="2"/>
    </row>
    <row r="586" spans="4:4" ht="13.8" x14ac:dyDescent="0.3">
      <c r="D586" s="2"/>
    </row>
    <row r="587" spans="4:4" ht="13.8" x14ac:dyDescent="0.3">
      <c r="D587" s="2"/>
    </row>
    <row r="588" spans="4:4" ht="13.8" x14ac:dyDescent="0.3">
      <c r="D588" s="2"/>
    </row>
    <row r="589" spans="4:4" ht="13.8" x14ac:dyDescent="0.3">
      <c r="D589" s="2"/>
    </row>
    <row r="590" spans="4:4" ht="13.8" x14ac:dyDescent="0.3">
      <c r="D590" s="2"/>
    </row>
    <row r="591" spans="4:4" ht="13.8" x14ac:dyDescent="0.3">
      <c r="D591" s="2"/>
    </row>
    <row r="592" spans="4:4" ht="13.8" x14ac:dyDescent="0.3">
      <c r="D592" s="2"/>
    </row>
    <row r="593" spans="4:4" ht="13.8" x14ac:dyDescent="0.3">
      <c r="D593" s="2"/>
    </row>
    <row r="594" spans="4:4" ht="13.8" x14ac:dyDescent="0.3">
      <c r="D594" s="2"/>
    </row>
    <row r="595" spans="4:4" ht="13.8" x14ac:dyDescent="0.3">
      <c r="D595" s="2"/>
    </row>
    <row r="596" spans="4:4" ht="13.8" x14ac:dyDescent="0.3">
      <c r="D596" s="2"/>
    </row>
    <row r="597" spans="4:4" ht="13.8" x14ac:dyDescent="0.3">
      <c r="D597" s="2"/>
    </row>
    <row r="598" spans="4:4" ht="13.8" x14ac:dyDescent="0.3">
      <c r="D598" s="2"/>
    </row>
    <row r="599" spans="4:4" ht="13.8" x14ac:dyDescent="0.3">
      <c r="D599" s="2"/>
    </row>
    <row r="600" spans="4:4" ht="13.8" x14ac:dyDescent="0.3">
      <c r="D600" s="2"/>
    </row>
    <row r="601" spans="4:4" ht="13.8" x14ac:dyDescent="0.3">
      <c r="D601" s="2"/>
    </row>
    <row r="602" spans="4:4" ht="13.8" x14ac:dyDescent="0.3">
      <c r="D602" s="2"/>
    </row>
    <row r="603" spans="4:4" ht="13.8" x14ac:dyDescent="0.3">
      <c r="D603" s="2"/>
    </row>
    <row r="604" spans="4:4" ht="13.8" x14ac:dyDescent="0.3">
      <c r="D604" s="2"/>
    </row>
    <row r="605" spans="4:4" ht="13.8" x14ac:dyDescent="0.3">
      <c r="D605" s="2"/>
    </row>
    <row r="606" spans="4:4" ht="13.8" x14ac:dyDescent="0.3">
      <c r="D606" s="2"/>
    </row>
    <row r="607" spans="4:4" ht="13.8" x14ac:dyDescent="0.3">
      <c r="D607" s="2"/>
    </row>
    <row r="608" spans="4:4" ht="13.8" x14ac:dyDescent="0.3">
      <c r="D608" s="2"/>
    </row>
    <row r="609" spans="4:4" ht="13.8" x14ac:dyDescent="0.3">
      <c r="D609" s="2"/>
    </row>
    <row r="610" spans="4:4" ht="13.8" x14ac:dyDescent="0.3">
      <c r="D610" s="2"/>
    </row>
    <row r="611" spans="4:4" ht="13.8" x14ac:dyDescent="0.3">
      <c r="D611" s="2"/>
    </row>
    <row r="612" spans="4:4" ht="13.8" x14ac:dyDescent="0.3">
      <c r="D612" s="2"/>
    </row>
    <row r="613" spans="4:4" ht="13.8" x14ac:dyDescent="0.3">
      <c r="D613" s="2"/>
    </row>
    <row r="614" spans="4:4" ht="13.8" x14ac:dyDescent="0.3">
      <c r="D614" s="2"/>
    </row>
    <row r="615" spans="4:4" ht="13.8" x14ac:dyDescent="0.3">
      <c r="D615" s="2"/>
    </row>
    <row r="616" spans="4:4" ht="13.8" x14ac:dyDescent="0.3">
      <c r="D616" s="2"/>
    </row>
    <row r="617" spans="4:4" ht="13.8" x14ac:dyDescent="0.3">
      <c r="D617" s="2"/>
    </row>
    <row r="618" spans="4:4" ht="13.8" x14ac:dyDescent="0.3">
      <c r="D618" s="2"/>
    </row>
    <row r="619" spans="4:4" ht="13.8" x14ac:dyDescent="0.3">
      <c r="D619" s="2"/>
    </row>
    <row r="620" spans="4:4" ht="13.8" x14ac:dyDescent="0.3">
      <c r="D620" s="2"/>
    </row>
    <row r="621" spans="4:4" ht="13.8" x14ac:dyDescent="0.3">
      <c r="D621" s="2"/>
    </row>
    <row r="622" spans="4:4" ht="13.8" x14ac:dyDescent="0.3">
      <c r="D622" s="2"/>
    </row>
    <row r="623" spans="4:4" ht="13.8" x14ac:dyDescent="0.3">
      <c r="D623" s="2"/>
    </row>
    <row r="624" spans="4:4" ht="13.8" x14ac:dyDescent="0.3">
      <c r="D624" s="2"/>
    </row>
    <row r="625" spans="4:4" ht="13.8" x14ac:dyDescent="0.3">
      <c r="D625" s="2"/>
    </row>
    <row r="626" spans="4:4" ht="13.8" x14ac:dyDescent="0.3">
      <c r="D626" s="2"/>
    </row>
    <row r="627" spans="4:4" ht="13.8" x14ac:dyDescent="0.3">
      <c r="D627" s="2"/>
    </row>
    <row r="628" spans="4:4" ht="13.8" x14ac:dyDescent="0.3">
      <c r="D628" s="2"/>
    </row>
    <row r="629" spans="4:4" ht="13.8" x14ac:dyDescent="0.3">
      <c r="D629" s="2"/>
    </row>
    <row r="630" spans="4:4" ht="13.8" x14ac:dyDescent="0.3">
      <c r="D630" s="2"/>
    </row>
    <row r="631" spans="4:4" ht="13.8" x14ac:dyDescent="0.3">
      <c r="D631" s="2"/>
    </row>
    <row r="632" spans="4:4" ht="13.8" x14ac:dyDescent="0.3">
      <c r="D632" s="2"/>
    </row>
    <row r="633" spans="4:4" ht="13.8" x14ac:dyDescent="0.3">
      <c r="D633" s="2"/>
    </row>
    <row r="634" spans="4:4" ht="13.8" x14ac:dyDescent="0.3">
      <c r="D634" s="2"/>
    </row>
    <row r="635" spans="4:4" ht="13.8" x14ac:dyDescent="0.3">
      <c r="D635" s="2"/>
    </row>
    <row r="636" spans="4:4" ht="13.8" x14ac:dyDescent="0.3">
      <c r="D636" s="2"/>
    </row>
    <row r="637" spans="4:4" ht="13.8" x14ac:dyDescent="0.3">
      <c r="D637" s="2"/>
    </row>
    <row r="638" spans="4:4" ht="13.8" x14ac:dyDescent="0.3">
      <c r="D638" s="2"/>
    </row>
    <row r="639" spans="4:4" ht="13.8" x14ac:dyDescent="0.3">
      <c r="D639" s="2"/>
    </row>
    <row r="640" spans="4:4" ht="13.8" x14ac:dyDescent="0.3">
      <c r="D640" s="2"/>
    </row>
    <row r="641" spans="4:4" ht="13.8" x14ac:dyDescent="0.3">
      <c r="D641" s="2"/>
    </row>
    <row r="642" spans="4:4" ht="13.8" x14ac:dyDescent="0.3">
      <c r="D642" s="2"/>
    </row>
    <row r="643" spans="4:4" ht="13.8" x14ac:dyDescent="0.3">
      <c r="D643" s="2"/>
    </row>
    <row r="644" spans="4:4" ht="13.8" x14ac:dyDescent="0.3">
      <c r="D644" s="2"/>
    </row>
    <row r="645" spans="4:4" ht="13.8" x14ac:dyDescent="0.3">
      <c r="D645" s="2"/>
    </row>
    <row r="646" spans="4:4" ht="13.8" x14ac:dyDescent="0.3">
      <c r="D646" s="2"/>
    </row>
    <row r="647" spans="4:4" ht="13.8" x14ac:dyDescent="0.3">
      <c r="D647" s="2"/>
    </row>
    <row r="648" spans="4:4" ht="13.8" x14ac:dyDescent="0.3">
      <c r="D648" s="2"/>
    </row>
    <row r="649" spans="4:4" ht="13.8" x14ac:dyDescent="0.3">
      <c r="D649" s="2"/>
    </row>
    <row r="650" spans="4:4" ht="13.8" x14ac:dyDescent="0.3">
      <c r="D650" s="2"/>
    </row>
    <row r="651" spans="4:4" ht="13.8" x14ac:dyDescent="0.3">
      <c r="D651" s="2"/>
    </row>
    <row r="652" spans="4:4" ht="13.8" x14ac:dyDescent="0.3">
      <c r="D652" s="2"/>
    </row>
    <row r="653" spans="4:4" ht="13.8" x14ac:dyDescent="0.3">
      <c r="D653" s="2"/>
    </row>
    <row r="654" spans="4:4" ht="13.8" x14ac:dyDescent="0.3">
      <c r="D654" s="2"/>
    </row>
    <row r="655" spans="4:4" ht="13.8" x14ac:dyDescent="0.3">
      <c r="D655" s="2"/>
    </row>
    <row r="656" spans="4:4" ht="13.8" x14ac:dyDescent="0.3">
      <c r="D656" s="2"/>
    </row>
    <row r="657" spans="4:4" ht="13.8" x14ac:dyDescent="0.3">
      <c r="D657" s="2"/>
    </row>
    <row r="658" spans="4:4" ht="13.8" x14ac:dyDescent="0.3">
      <c r="D658" s="2"/>
    </row>
    <row r="659" spans="4:4" ht="13.8" x14ac:dyDescent="0.3">
      <c r="D659" s="2"/>
    </row>
    <row r="660" spans="4:4" ht="13.8" x14ac:dyDescent="0.3">
      <c r="D660" s="2"/>
    </row>
    <row r="661" spans="4:4" ht="13.8" x14ac:dyDescent="0.3">
      <c r="D661" s="2"/>
    </row>
    <row r="662" spans="4:4" ht="13.8" x14ac:dyDescent="0.3">
      <c r="D662" s="2"/>
    </row>
    <row r="663" spans="4:4" ht="13.8" x14ac:dyDescent="0.3">
      <c r="D663" s="2"/>
    </row>
    <row r="664" spans="4:4" ht="13.8" x14ac:dyDescent="0.3">
      <c r="D664" s="2"/>
    </row>
    <row r="665" spans="4:4" ht="13.8" x14ac:dyDescent="0.3">
      <c r="D665" s="2"/>
    </row>
    <row r="666" spans="4:4" ht="13.8" x14ac:dyDescent="0.3">
      <c r="D666" s="2"/>
    </row>
    <row r="667" spans="4:4" ht="13.8" x14ac:dyDescent="0.3">
      <c r="D667" s="2"/>
    </row>
    <row r="668" spans="4:4" ht="13.8" x14ac:dyDescent="0.3">
      <c r="D668" s="2"/>
    </row>
    <row r="669" spans="4:4" ht="13.8" x14ac:dyDescent="0.3">
      <c r="D669" s="2"/>
    </row>
    <row r="670" spans="4:4" ht="13.8" x14ac:dyDescent="0.3">
      <c r="D670" s="2"/>
    </row>
    <row r="671" spans="4:4" ht="13.8" x14ac:dyDescent="0.3">
      <c r="D671" s="2"/>
    </row>
    <row r="672" spans="4:4" ht="13.8" x14ac:dyDescent="0.3">
      <c r="D672" s="2"/>
    </row>
    <row r="673" spans="4:4" ht="13.8" x14ac:dyDescent="0.3">
      <c r="D673" s="2"/>
    </row>
    <row r="674" spans="4:4" ht="13.8" x14ac:dyDescent="0.3">
      <c r="D674" s="2"/>
    </row>
    <row r="675" spans="4:4" ht="13.8" x14ac:dyDescent="0.3">
      <c r="D675" s="2"/>
    </row>
    <row r="676" spans="4:4" ht="13.8" x14ac:dyDescent="0.3">
      <c r="D676" s="2"/>
    </row>
    <row r="677" spans="4:4" ht="13.8" x14ac:dyDescent="0.3">
      <c r="D677" s="2"/>
    </row>
    <row r="678" spans="4:4" ht="13.8" x14ac:dyDescent="0.3">
      <c r="D678" s="2"/>
    </row>
    <row r="679" spans="4:4" ht="13.8" x14ac:dyDescent="0.3">
      <c r="D679" s="2"/>
    </row>
    <row r="680" spans="4:4" ht="13.8" x14ac:dyDescent="0.3">
      <c r="D680" s="2"/>
    </row>
    <row r="681" spans="4:4" ht="13.8" x14ac:dyDescent="0.3">
      <c r="D681" s="2"/>
    </row>
    <row r="682" spans="4:4" ht="13.8" x14ac:dyDescent="0.3">
      <c r="D682" s="2"/>
    </row>
    <row r="683" spans="4:4" ht="13.8" x14ac:dyDescent="0.3">
      <c r="D683" s="2"/>
    </row>
    <row r="684" spans="4:4" ht="13.8" x14ac:dyDescent="0.3">
      <c r="D684" s="2"/>
    </row>
    <row r="685" spans="4:4" ht="13.8" x14ac:dyDescent="0.3">
      <c r="D685" s="2"/>
    </row>
    <row r="686" spans="4:4" ht="13.8" x14ac:dyDescent="0.3">
      <c r="D686" s="2"/>
    </row>
    <row r="687" spans="4:4" ht="13.8" x14ac:dyDescent="0.3">
      <c r="D687" s="2"/>
    </row>
    <row r="688" spans="4:4" ht="13.8" x14ac:dyDescent="0.3">
      <c r="D688" s="2"/>
    </row>
    <row r="689" spans="4:4" ht="13.8" x14ac:dyDescent="0.3">
      <c r="D689" s="2"/>
    </row>
    <row r="690" spans="4:4" ht="13.8" x14ac:dyDescent="0.3">
      <c r="D690" s="2"/>
    </row>
    <row r="691" spans="4:4" ht="13.8" x14ac:dyDescent="0.3">
      <c r="D691" s="2"/>
    </row>
    <row r="692" spans="4:4" ht="13.8" x14ac:dyDescent="0.3">
      <c r="D692" s="2"/>
    </row>
    <row r="693" spans="4:4" ht="13.8" x14ac:dyDescent="0.3">
      <c r="D693" s="2"/>
    </row>
    <row r="694" spans="4:4" ht="13.8" x14ac:dyDescent="0.3">
      <c r="D694" s="2"/>
    </row>
    <row r="695" spans="4:4" ht="13.8" x14ac:dyDescent="0.3">
      <c r="D695" s="2"/>
    </row>
    <row r="696" spans="4:4" ht="13.8" x14ac:dyDescent="0.3">
      <c r="D696" s="2"/>
    </row>
    <row r="697" spans="4:4" ht="13.8" x14ac:dyDescent="0.3">
      <c r="D697" s="2"/>
    </row>
    <row r="698" spans="4:4" ht="13.8" x14ac:dyDescent="0.3">
      <c r="D698" s="2"/>
    </row>
    <row r="699" spans="4:4" ht="13.8" x14ac:dyDescent="0.3">
      <c r="D699" s="2"/>
    </row>
    <row r="700" spans="4:4" ht="13.8" x14ac:dyDescent="0.3">
      <c r="D700" s="2"/>
    </row>
    <row r="701" spans="4:4" ht="13.8" x14ac:dyDescent="0.3">
      <c r="D701" s="2"/>
    </row>
    <row r="702" spans="4:4" ht="13.8" x14ac:dyDescent="0.3">
      <c r="D702" s="2"/>
    </row>
    <row r="703" spans="4:4" ht="13.8" x14ac:dyDescent="0.3">
      <c r="D703" s="2"/>
    </row>
    <row r="704" spans="4:4" ht="13.8" x14ac:dyDescent="0.3">
      <c r="D704" s="2"/>
    </row>
    <row r="705" spans="4:4" ht="13.8" x14ac:dyDescent="0.3">
      <c r="D705" s="2"/>
    </row>
    <row r="706" spans="4:4" ht="13.8" x14ac:dyDescent="0.3">
      <c r="D706" s="2"/>
    </row>
    <row r="707" spans="4:4" ht="13.8" x14ac:dyDescent="0.3">
      <c r="D707" s="2"/>
    </row>
    <row r="708" spans="4:4" ht="13.8" x14ac:dyDescent="0.3">
      <c r="D708" s="2"/>
    </row>
    <row r="709" spans="4:4" ht="13.8" x14ac:dyDescent="0.3">
      <c r="D709" s="2"/>
    </row>
    <row r="710" spans="4:4" ht="13.8" x14ac:dyDescent="0.3">
      <c r="D710" s="2"/>
    </row>
    <row r="711" spans="4:4" ht="13.8" x14ac:dyDescent="0.3">
      <c r="D711" s="2"/>
    </row>
    <row r="712" spans="4:4" ht="13.8" x14ac:dyDescent="0.3">
      <c r="D712" s="2"/>
    </row>
    <row r="713" spans="4:4" ht="13.8" x14ac:dyDescent="0.3">
      <c r="D713" s="2"/>
    </row>
    <row r="714" spans="4:4" ht="13.8" x14ac:dyDescent="0.3">
      <c r="D714" s="2"/>
    </row>
    <row r="715" spans="4:4" ht="13.8" x14ac:dyDescent="0.3">
      <c r="D715" s="2"/>
    </row>
    <row r="716" spans="4:4" ht="13.8" x14ac:dyDescent="0.3">
      <c r="D716" s="2"/>
    </row>
    <row r="717" spans="4:4" ht="13.8" x14ac:dyDescent="0.3">
      <c r="D717" s="2"/>
    </row>
    <row r="718" spans="4:4" ht="13.8" x14ac:dyDescent="0.3">
      <c r="D718" s="2"/>
    </row>
    <row r="719" spans="4:4" ht="13.8" x14ac:dyDescent="0.3">
      <c r="D719" s="2"/>
    </row>
    <row r="720" spans="4:4" ht="13.8" x14ac:dyDescent="0.3">
      <c r="D720" s="2"/>
    </row>
    <row r="721" spans="4:4" ht="13.8" x14ac:dyDescent="0.3">
      <c r="D721" s="2"/>
    </row>
    <row r="722" spans="4:4" ht="13.8" x14ac:dyDescent="0.3">
      <c r="D722" s="2"/>
    </row>
    <row r="723" spans="4:4" ht="13.8" x14ac:dyDescent="0.3">
      <c r="D723" s="2"/>
    </row>
    <row r="724" spans="4:4" ht="13.8" x14ac:dyDescent="0.3">
      <c r="D724" s="2"/>
    </row>
    <row r="725" spans="4:4" ht="13.8" x14ac:dyDescent="0.3">
      <c r="D725" s="2"/>
    </row>
    <row r="726" spans="4:4" ht="13.8" x14ac:dyDescent="0.3">
      <c r="D726" s="2"/>
    </row>
    <row r="727" spans="4:4" ht="13.8" x14ac:dyDescent="0.3">
      <c r="D727" s="2"/>
    </row>
    <row r="728" spans="4:4" ht="13.8" x14ac:dyDescent="0.3">
      <c r="D728" s="2"/>
    </row>
    <row r="729" spans="4:4" ht="13.8" x14ac:dyDescent="0.3">
      <c r="D729" s="2"/>
    </row>
    <row r="730" spans="4:4" ht="13.8" x14ac:dyDescent="0.3">
      <c r="D730" s="2"/>
    </row>
    <row r="731" spans="4:4" ht="13.8" x14ac:dyDescent="0.3">
      <c r="D731" s="2"/>
    </row>
    <row r="732" spans="4:4" ht="13.8" x14ac:dyDescent="0.3">
      <c r="D732" s="2"/>
    </row>
    <row r="733" spans="4:4" ht="13.8" x14ac:dyDescent="0.3">
      <c r="D733" s="2"/>
    </row>
    <row r="734" spans="4:4" ht="13.8" x14ac:dyDescent="0.3">
      <c r="D734" s="2"/>
    </row>
    <row r="735" spans="4:4" ht="13.8" x14ac:dyDescent="0.3">
      <c r="D735" s="2"/>
    </row>
    <row r="736" spans="4:4" ht="13.8" x14ac:dyDescent="0.3">
      <c r="D736" s="2"/>
    </row>
    <row r="737" spans="4:4" ht="13.8" x14ac:dyDescent="0.3">
      <c r="D737" s="2"/>
    </row>
    <row r="738" spans="4:4" ht="13.8" x14ac:dyDescent="0.3">
      <c r="D738" s="2"/>
    </row>
    <row r="739" spans="4:4" ht="13.8" x14ac:dyDescent="0.3">
      <c r="D739" s="2"/>
    </row>
    <row r="740" spans="4:4" ht="13.8" x14ac:dyDescent="0.3">
      <c r="D740" s="2"/>
    </row>
    <row r="741" spans="4:4" ht="13.8" x14ac:dyDescent="0.3">
      <c r="D741" s="2"/>
    </row>
    <row r="742" spans="4:4" ht="13.8" x14ac:dyDescent="0.3">
      <c r="D742" s="2"/>
    </row>
    <row r="743" spans="4:4" ht="13.8" x14ac:dyDescent="0.3">
      <c r="D743" s="2"/>
    </row>
    <row r="744" spans="4:4" ht="13.8" x14ac:dyDescent="0.3">
      <c r="D744" s="2"/>
    </row>
    <row r="745" spans="4:4" ht="13.8" x14ac:dyDescent="0.3">
      <c r="D745" s="2"/>
    </row>
    <row r="746" spans="4:4" ht="13.8" x14ac:dyDescent="0.3">
      <c r="D746" s="2"/>
    </row>
    <row r="747" spans="4:4" ht="13.8" x14ac:dyDescent="0.3">
      <c r="D747" s="2"/>
    </row>
    <row r="748" spans="4:4" ht="13.8" x14ac:dyDescent="0.3">
      <c r="D748" s="2"/>
    </row>
    <row r="749" spans="4:4" ht="13.8" x14ac:dyDescent="0.3">
      <c r="D749" s="2"/>
    </row>
    <row r="750" spans="4:4" ht="13.8" x14ac:dyDescent="0.3">
      <c r="D750" s="2"/>
    </row>
    <row r="751" spans="4:4" ht="13.8" x14ac:dyDescent="0.3">
      <c r="D751" s="2"/>
    </row>
    <row r="752" spans="4:4" ht="13.8" x14ac:dyDescent="0.3">
      <c r="D752" s="2"/>
    </row>
    <row r="753" spans="4:4" ht="13.8" x14ac:dyDescent="0.3">
      <c r="D753" s="2"/>
    </row>
    <row r="754" spans="4:4" ht="13.8" x14ac:dyDescent="0.3">
      <c r="D754" s="2"/>
    </row>
    <row r="755" spans="4:4" ht="13.8" x14ac:dyDescent="0.3">
      <c r="D755" s="2"/>
    </row>
    <row r="756" spans="4:4" ht="13.8" x14ac:dyDescent="0.3">
      <c r="D756" s="2"/>
    </row>
    <row r="757" spans="4:4" ht="13.8" x14ac:dyDescent="0.3">
      <c r="D757" s="2"/>
    </row>
    <row r="758" spans="4:4" ht="13.8" x14ac:dyDescent="0.3">
      <c r="D758" s="2"/>
    </row>
    <row r="759" spans="4:4" ht="13.8" x14ac:dyDescent="0.3">
      <c r="D759" s="2"/>
    </row>
    <row r="760" spans="4:4" ht="13.8" x14ac:dyDescent="0.3">
      <c r="D760" s="2"/>
    </row>
    <row r="761" spans="4:4" ht="13.8" x14ac:dyDescent="0.3">
      <c r="D761" s="2"/>
    </row>
    <row r="762" spans="4:4" ht="13.8" x14ac:dyDescent="0.3">
      <c r="D762" s="2"/>
    </row>
    <row r="763" spans="4:4" ht="13.8" x14ac:dyDescent="0.3">
      <c r="D763" s="2"/>
    </row>
    <row r="764" spans="4:4" ht="13.8" x14ac:dyDescent="0.3">
      <c r="D764" s="2"/>
    </row>
    <row r="765" spans="4:4" ht="13.8" x14ac:dyDescent="0.3">
      <c r="D765" s="2"/>
    </row>
    <row r="766" spans="4:4" ht="13.8" x14ac:dyDescent="0.3">
      <c r="D766" s="2"/>
    </row>
    <row r="767" spans="4:4" ht="13.8" x14ac:dyDescent="0.3">
      <c r="D767" s="2"/>
    </row>
    <row r="768" spans="4:4" ht="13.8" x14ac:dyDescent="0.3">
      <c r="D768" s="2"/>
    </row>
    <row r="769" spans="4:4" ht="13.8" x14ac:dyDescent="0.3">
      <c r="D769" s="2"/>
    </row>
    <row r="770" spans="4:4" ht="13.8" x14ac:dyDescent="0.3">
      <c r="D770" s="2"/>
    </row>
    <row r="771" spans="4:4" ht="13.8" x14ac:dyDescent="0.3">
      <c r="D771" s="2"/>
    </row>
    <row r="772" spans="4:4" ht="13.8" x14ac:dyDescent="0.3">
      <c r="D772" s="2"/>
    </row>
    <row r="773" spans="4:4" ht="13.8" x14ac:dyDescent="0.3">
      <c r="D773" s="2"/>
    </row>
    <row r="774" spans="4:4" ht="13.8" x14ac:dyDescent="0.3">
      <c r="D774" s="2"/>
    </row>
    <row r="775" spans="4:4" ht="13.8" x14ac:dyDescent="0.3">
      <c r="D775" s="2"/>
    </row>
    <row r="776" spans="4:4" ht="13.8" x14ac:dyDescent="0.3">
      <c r="D776" s="2"/>
    </row>
    <row r="777" spans="4:4" ht="13.8" x14ac:dyDescent="0.3">
      <c r="D777" s="2"/>
    </row>
    <row r="778" spans="4:4" ht="13.8" x14ac:dyDescent="0.3">
      <c r="D778" s="2"/>
    </row>
    <row r="779" spans="4:4" ht="13.8" x14ac:dyDescent="0.3">
      <c r="D779" s="2"/>
    </row>
    <row r="780" spans="4:4" ht="13.8" x14ac:dyDescent="0.3">
      <c r="D780" s="2"/>
    </row>
    <row r="781" spans="4:4" ht="13.8" x14ac:dyDescent="0.3">
      <c r="D781" s="2"/>
    </row>
    <row r="782" spans="4:4" ht="13.8" x14ac:dyDescent="0.3">
      <c r="D782" s="2"/>
    </row>
    <row r="783" spans="4:4" ht="13.8" x14ac:dyDescent="0.3">
      <c r="D783" s="2"/>
    </row>
    <row r="784" spans="4:4" ht="13.8" x14ac:dyDescent="0.3">
      <c r="D784" s="2"/>
    </row>
    <row r="785" spans="4:4" ht="13.8" x14ac:dyDescent="0.3">
      <c r="D785" s="2"/>
    </row>
    <row r="786" spans="4:4" ht="13.8" x14ac:dyDescent="0.3">
      <c r="D786" s="2"/>
    </row>
    <row r="787" spans="4:4" ht="13.8" x14ac:dyDescent="0.3">
      <c r="D787" s="2"/>
    </row>
    <row r="788" spans="4:4" ht="13.8" x14ac:dyDescent="0.3">
      <c r="D788" s="2"/>
    </row>
    <row r="789" spans="4:4" ht="13.8" x14ac:dyDescent="0.3">
      <c r="D789" s="2"/>
    </row>
    <row r="790" spans="4:4" ht="13.8" x14ac:dyDescent="0.3">
      <c r="D790" s="2"/>
    </row>
    <row r="791" spans="4:4" ht="13.8" x14ac:dyDescent="0.3">
      <c r="D791" s="2"/>
    </row>
    <row r="792" spans="4:4" ht="13.8" x14ac:dyDescent="0.3">
      <c r="D792" s="2"/>
    </row>
    <row r="793" spans="4:4" ht="13.8" x14ac:dyDescent="0.3">
      <c r="D793" s="2"/>
    </row>
    <row r="794" spans="4:4" ht="13.8" x14ac:dyDescent="0.3">
      <c r="D794" s="2"/>
    </row>
    <row r="795" spans="4:4" ht="13.8" x14ac:dyDescent="0.3">
      <c r="D795" s="2"/>
    </row>
    <row r="796" spans="4:4" ht="13.8" x14ac:dyDescent="0.3">
      <c r="D796" s="2"/>
    </row>
    <row r="797" spans="4:4" ht="13.8" x14ac:dyDescent="0.3">
      <c r="D797" s="2"/>
    </row>
    <row r="798" spans="4:4" ht="13.8" x14ac:dyDescent="0.3">
      <c r="D798" s="2"/>
    </row>
    <row r="799" spans="4:4" ht="13.8" x14ac:dyDescent="0.3">
      <c r="D799" s="2"/>
    </row>
    <row r="800" spans="4:4" ht="13.8" x14ac:dyDescent="0.3">
      <c r="D800" s="2"/>
    </row>
    <row r="801" spans="4:4" ht="13.8" x14ac:dyDescent="0.3">
      <c r="D801" s="2"/>
    </row>
    <row r="802" spans="4:4" ht="13.8" x14ac:dyDescent="0.3">
      <c r="D802" s="2"/>
    </row>
    <row r="803" spans="4:4" ht="13.8" x14ac:dyDescent="0.3">
      <c r="D803" s="2"/>
    </row>
    <row r="804" spans="4:4" ht="13.8" x14ac:dyDescent="0.3">
      <c r="D804" s="2"/>
    </row>
    <row r="805" spans="4:4" ht="13.8" x14ac:dyDescent="0.3">
      <c r="D805" s="2"/>
    </row>
    <row r="806" spans="4:4" ht="13.8" x14ac:dyDescent="0.3">
      <c r="D806" s="2"/>
    </row>
    <row r="807" spans="4:4" ht="13.8" x14ac:dyDescent="0.3">
      <c r="D807" s="2"/>
    </row>
    <row r="808" spans="4:4" ht="13.8" x14ac:dyDescent="0.3">
      <c r="D808" s="2"/>
    </row>
    <row r="809" spans="4:4" ht="13.8" x14ac:dyDescent="0.3">
      <c r="D809" s="2"/>
    </row>
    <row r="810" spans="4:4" ht="13.8" x14ac:dyDescent="0.3">
      <c r="D810" s="2"/>
    </row>
    <row r="811" spans="4:4" ht="13.8" x14ac:dyDescent="0.3">
      <c r="D811" s="2"/>
    </row>
    <row r="812" spans="4:4" ht="13.8" x14ac:dyDescent="0.3">
      <c r="D812" s="2"/>
    </row>
    <row r="813" spans="4:4" ht="13.8" x14ac:dyDescent="0.3">
      <c r="D813" s="2"/>
    </row>
    <row r="814" spans="4:4" ht="13.8" x14ac:dyDescent="0.3">
      <c r="D814" s="2"/>
    </row>
    <row r="815" spans="4:4" ht="13.8" x14ac:dyDescent="0.3">
      <c r="D815" s="2"/>
    </row>
    <row r="816" spans="4:4" ht="13.8" x14ac:dyDescent="0.3">
      <c r="D816" s="2"/>
    </row>
    <row r="817" spans="4:4" ht="13.8" x14ac:dyDescent="0.3">
      <c r="D817" s="2"/>
    </row>
    <row r="818" spans="4:4" ht="13.8" x14ac:dyDescent="0.3">
      <c r="D818" s="2"/>
    </row>
    <row r="819" spans="4:4" ht="13.8" x14ac:dyDescent="0.3">
      <c r="D819" s="2"/>
    </row>
    <row r="820" spans="4:4" ht="13.8" x14ac:dyDescent="0.3">
      <c r="D820" s="2"/>
    </row>
    <row r="821" spans="4:4" ht="13.8" x14ac:dyDescent="0.3">
      <c r="D821" s="2"/>
    </row>
    <row r="822" spans="4:4" ht="13.8" x14ac:dyDescent="0.3">
      <c r="D822" s="2"/>
    </row>
    <row r="823" spans="4:4" ht="13.8" x14ac:dyDescent="0.3">
      <c r="D823" s="2"/>
    </row>
    <row r="824" spans="4:4" ht="13.8" x14ac:dyDescent="0.3">
      <c r="D824" s="2"/>
    </row>
    <row r="825" spans="4:4" ht="13.8" x14ac:dyDescent="0.3">
      <c r="D825" s="2"/>
    </row>
    <row r="826" spans="4:4" ht="13.8" x14ac:dyDescent="0.3">
      <c r="D826" s="2"/>
    </row>
    <row r="827" spans="4:4" ht="13.8" x14ac:dyDescent="0.3">
      <c r="D827" s="2"/>
    </row>
    <row r="828" spans="4:4" ht="13.8" x14ac:dyDescent="0.3">
      <c r="D828" s="2"/>
    </row>
    <row r="829" spans="4:4" ht="13.8" x14ac:dyDescent="0.3">
      <c r="D829" s="2"/>
    </row>
    <row r="830" spans="4:4" ht="13.8" x14ac:dyDescent="0.3">
      <c r="D830" s="2"/>
    </row>
    <row r="831" spans="4:4" ht="13.8" x14ac:dyDescent="0.3">
      <c r="D831" s="2"/>
    </row>
    <row r="832" spans="4:4" ht="13.8" x14ac:dyDescent="0.3">
      <c r="D832" s="2"/>
    </row>
    <row r="833" spans="4:4" ht="13.8" x14ac:dyDescent="0.3">
      <c r="D833" s="2"/>
    </row>
    <row r="834" spans="4:4" ht="13.8" x14ac:dyDescent="0.3">
      <c r="D834" s="2"/>
    </row>
    <row r="835" spans="4:4" ht="13.8" x14ac:dyDescent="0.3">
      <c r="D835" s="2"/>
    </row>
    <row r="836" spans="4:4" ht="13.8" x14ac:dyDescent="0.3">
      <c r="D836" s="2"/>
    </row>
    <row r="837" spans="4:4" ht="13.8" x14ac:dyDescent="0.3">
      <c r="D837" s="2"/>
    </row>
    <row r="838" spans="4:4" ht="13.8" x14ac:dyDescent="0.3">
      <c r="D838" s="2"/>
    </row>
    <row r="839" spans="4:4" ht="13.8" x14ac:dyDescent="0.3">
      <c r="D839" s="2"/>
    </row>
    <row r="840" spans="4:4" ht="13.8" x14ac:dyDescent="0.3">
      <c r="D840" s="2"/>
    </row>
    <row r="841" spans="4:4" ht="13.8" x14ac:dyDescent="0.3">
      <c r="D841" s="2"/>
    </row>
    <row r="842" spans="4:4" ht="13.8" x14ac:dyDescent="0.3">
      <c r="D842" s="2"/>
    </row>
    <row r="843" spans="4:4" ht="13.8" x14ac:dyDescent="0.3">
      <c r="D843" s="2"/>
    </row>
    <row r="844" spans="4:4" ht="13.8" x14ac:dyDescent="0.3">
      <c r="D844" s="2"/>
    </row>
    <row r="845" spans="4:4" ht="13.8" x14ac:dyDescent="0.3">
      <c r="D845" s="2"/>
    </row>
    <row r="846" spans="4:4" ht="13.8" x14ac:dyDescent="0.3">
      <c r="D846" s="2"/>
    </row>
    <row r="847" spans="4:4" ht="13.8" x14ac:dyDescent="0.3">
      <c r="D847" s="2"/>
    </row>
    <row r="848" spans="4:4" ht="13.8" x14ac:dyDescent="0.3">
      <c r="D848" s="2"/>
    </row>
    <row r="849" spans="4:4" ht="13.8" x14ac:dyDescent="0.3">
      <c r="D849" s="2"/>
    </row>
    <row r="850" spans="4:4" ht="13.8" x14ac:dyDescent="0.3">
      <c r="D850" s="2"/>
    </row>
    <row r="851" spans="4:4" ht="13.8" x14ac:dyDescent="0.3">
      <c r="D851" s="2"/>
    </row>
    <row r="852" spans="4:4" ht="13.8" x14ac:dyDescent="0.3">
      <c r="D852" s="2"/>
    </row>
    <row r="853" spans="4:4" ht="13.8" x14ac:dyDescent="0.3">
      <c r="D853" s="2"/>
    </row>
    <row r="854" spans="4:4" ht="13.8" x14ac:dyDescent="0.3">
      <c r="D854" s="2"/>
    </row>
    <row r="855" spans="4:4" ht="13.8" x14ac:dyDescent="0.3">
      <c r="D855" s="2"/>
    </row>
    <row r="856" spans="4:4" ht="13.8" x14ac:dyDescent="0.3">
      <c r="D856" s="2"/>
    </row>
    <row r="857" spans="4:4" ht="13.8" x14ac:dyDescent="0.3">
      <c r="D857" s="2"/>
    </row>
    <row r="858" spans="4:4" ht="13.8" x14ac:dyDescent="0.3">
      <c r="D858" s="2"/>
    </row>
    <row r="859" spans="4:4" ht="13.8" x14ac:dyDescent="0.3">
      <c r="D859" s="2"/>
    </row>
    <row r="860" spans="4:4" ht="13.8" x14ac:dyDescent="0.3">
      <c r="D860" s="2"/>
    </row>
    <row r="861" spans="4:4" ht="13.8" x14ac:dyDescent="0.3">
      <c r="D861" s="2"/>
    </row>
    <row r="862" spans="4:4" ht="13.8" x14ac:dyDescent="0.3">
      <c r="D862" s="2"/>
    </row>
    <row r="863" spans="4:4" ht="13.8" x14ac:dyDescent="0.3">
      <c r="D863" s="2"/>
    </row>
    <row r="864" spans="4:4" ht="13.8" x14ac:dyDescent="0.3">
      <c r="D864" s="2"/>
    </row>
    <row r="865" spans="4:4" ht="13.8" x14ac:dyDescent="0.3">
      <c r="D865" s="2"/>
    </row>
    <row r="866" spans="4:4" ht="13.8" x14ac:dyDescent="0.3">
      <c r="D866" s="2"/>
    </row>
    <row r="867" spans="4:4" ht="13.8" x14ac:dyDescent="0.3">
      <c r="D867" s="2"/>
    </row>
    <row r="868" spans="4:4" ht="13.8" x14ac:dyDescent="0.3">
      <c r="D868" s="2"/>
    </row>
    <row r="869" spans="4:4" ht="13.8" x14ac:dyDescent="0.3">
      <c r="D869" s="2"/>
    </row>
    <row r="870" spans="4:4" ht="13.8" x14ac:dyDescent="0.3">
      <c r="D870" s="2"/>
    </row>
    <row r="871" spans="4:4" ht="13.8" x14ac:dyDescent="0.3">
      <c r="D871" s="2"/>
    </row>
    <row r="872" spans="4:4" ht="13.8" x14ac:dyDescent="0.3">
      <c r="D872" s="2"/>
    </row>
    <row r="873" spans="4:4" ht="13.8" x14ac:dyDescent="0.3">
      <c r="D873" s="2"/>
    </row>
    <row r="874" spans="4:4" ht="13.8" x14ac:dyDescent="0.3">
      <c r="D874" s="2"/>
    </row>
    <row r="875" spans="4:4" ht="13.8" x14ac:dyDescent="0.3">
      <c r="D875" s="2"/>
    </row>
    <row r="876" spans="4:4" ht="13.8" x14ac:dyDescent="0.3">
      <c r="D876" s="2"/>
    </row>
    <row r="877" spans="4:4" ht="13.8" x14ac:dyDescent="0.3">
      <c r="D877" s="2"/>
    </row>
    <row r="878" spans="4:4" ht="13.8" x14ac:dyDescent="0.3">
      <c r="D878" s="2"/>
    </row>
    <row r="879" spans="4:4" ht="13.8" x14ac:dyDescent="0.3">
      <c r="D879" s="2"/>
    </row>
    <row r="880" spans="4:4" ht="13.8" x14ac:dyDescent="0.3">
      <c r="D880" s="2"/>
    </row>
    <row r="881" spans="4:4" ht="13.8" x14ac:dyDescent="0.3">
      <c r="D881" s="2"/>
    </row>
    <row r="882" spans="4:4" ht="13.8" x14ac:dyDescent="0.3">
      <c r="D882" s="2"/>
    </row>
    <row r="883" spans="4:4" ht="13.8" x14ac:dyDescent="0.3">
      <c r="D883" s="2"/>
    </row>
    <row r="884" spans="4:4" ht="13.8" x14ac:dyDescent="0.3">
      <c r="D884" s="2"/>
    </row>
    <row r="885" spans="4:4" ht="13.8" x14ac:dyDescent="0.3">
      <c r="D885" s="2"/>
    </row>
    <row r="886" spans="4:4" ht="13.8" x14ac:dyDescent="0.3">
      <c r="D886" s="2"/>
    </row>
    <row r="887" spans="4:4" ht="13.8" x14ac:dyDescent="0.3">
      <c r="D887" s="2"/>
    </row>
    <row r="888" spans="4:4" ht="13.8" x14ac:dyDescent="0.3">
      <c r="D888" s="2"/>
    </row>
    <row r="889" spans="4:4" ht="13.8" x14ac:dyDescent="0.3">
      <c r="D889" s="2"/>
    </row>
    <row r="890" spans="4:4" ht="13.8" x14ac:dyDescent="0.3">
      <c r="D890" s="2"/>
    </row>
    <row r="891" spans="4:4" ht="13.8" x14ac:dyDescent="0.3">
      <c r="D891" s="2"/>
    </row>
    <row r="892" spans="4:4" ht="13.8" x14ac:dyDescent="0.3">
      <c r="D892" s="2"/>
    </row>
    <row r="893" spans="4:4" ht="13.8" x14ac:dyDescent="0.3">
      <c r="D893" s="2"/>
    </row>
    <row r="894" spans="4:4" ht="13.8" x14ac:dyDescent="0.3">
      <c r="D894" s="2"/>
    </row>
    <row r="895" spans="4:4" ht="13.8" x14ac:dyDescent="0.3">
      <c r="D895" s="2"/>
    </row>
    <row r="896" spans="4:4" ht="13.8" x14ac:dyDescent="0.3">
      <c r="D896" s="2"/>
    </row>
    <row r="897" spans="4:4" ht="13.8" x14ac:dyDescent="0.3">
      <c r="D897" s="2"/>
    </row>
    <row r="898" spans="4:4" ht="13.8" x14ac:dyDescent="0.3">
      <c r="D898" s="2"/>
    </row>
    <row r="899" spans="4:4" ht="13.8" x14ac:dyDescent="0.3">
      <c r="D899" s="2"/>
    </row>
    <row r="900" spans="4:4" ht="13.8" x14ac:dyDescent="0.3">
      <c r="D900" s="2"/>
    </row>
    <row r="901" spans="4:4" ht="13.8" x14ac:dyDescent="0.3">
      <c r="D901" s="2"/>
    </row>
    <row r="902" spans="4:4" ht="13.8" x14ac:dyDescent="0.3">
      <c r="D902" s="2"/>
    </row>
    <row r="903" spans="4:4" ht="13.8" x14ac:dyDescent="0.3">
      <c r="D903" s="2"/>
    </row>
    <row r="904" spans="4:4" ht="13.8" x14ac:dyDescent="0.3">
      <c r="D904" s="2"/>
    </row>
    <row r="905" spans="4:4" ht="13.8" x14ac:dyDescent="0.3">
      <c r="D905" s="2"/>
    </row>
    <row r="906" spans="4:4" ht="13.8" x14ac:dyDescent="0.3">
      <c r="D906" s="2"/>
    </row>
    <row r="907" spans="4:4" ht="13.8" x14ac:dyDescent="0.3">
      <c r="D907" s="2"/>
    </row>
    <row r="908" spans="4:4" ht="13.8" x14ac:dyDescent="0.3">
      <c r="D908" s="2"/>
    </row>
    <row r="909" spans="4:4" ht="13.8" x14ac:dyDescent="0.3">
      <c r="D909" s="2"/>
    </row>
    <row r="910" spans="4:4" ht="13.8" x14ac:dyDescent="0.3">
      <c r="D910" s="2"/>
    </row>
    <row r="911" spans="4:4" ht="13.8" x14ac:dyDescent="0.3">
      <c r="D911" s="2"/>
    </row>
    <row r="912" spans="4:4" ht="13.8" x14ac:dyDescent="0.3">
      <c r="D912" s="2"/>
    </row>
    <row r="913" spans="4:4" ht="13.8" x14ac:dyDescent="0.3">
      <c r="D913" s="2"/>
    </row>
    <row r="914" spans="4:4" ht="13.8" x14ac:dyDescent="0.3">
      <c r="D914" s="2"/>
    </row>
    <row r="915" spans="4:4" ht="13.8" x14ac:dyDescent="0.3">
      <c r="D915" s="2"/>
    </row>
    <row r="916" spans="4:4" ht="13.8" x14ac:dyDescent="0.3">
      <c r="D916" s="2"/>
    </row>
    <row r="917" spans="4:4" ht="13.8" x14ac:dyDescent="0.3">
      <c r="D917" s="2"/>
    </row>
    <row r="918" spans="4:4" ht="13.8" x14ac:dyDescent="0.3">
      <c r="D918" s="2"/>
    </row>
    <row r="919" spans="4:4" ht="13.8" x14ac:dyDescent="0.3">
      <c r="D919" s="2"/>
    </row>
    <row r="920" spans="4:4" ht="13.8" x14ac:dyDescent="0.3">
      <c r="D920" s="2"/>
    </row>
    <row r="921" spans="4:4" ht="13.8" x14ac:dyDescent="0.3">
      <c r="D921" s="2"/>
    </row>
    <row r="922" spans="4:4" ht="13.8" x14ac:dyDescent="0.3">
      <c r="D922" s="2"/>
    </row>
    <row r="923" spans="4:4" ht="13.8" x14ac:dyDescent="0.3">
      <c r="D923" s="2"/>
    </row>
    <row r="924" spans="4:4" ht="13.8" x14ac:dyDescent="0.3">
      <c r="D924" s="2"/>
    </row>
    <row r="925" spans="4:4" ht="13.8" x14ac:dyDescent="0.3">
      <c r="D925" s="2"/>
    </row>
    <row r="926" spans="4:4" ht="13.8" x14ac:dyDescent="0.3">
      <c r="D926" s="2"/>
    </row>
    <row r="927" spans="4:4" ht="13.8" x14ac:dyDescent="0.3">
      <c r="D927" s="2"/>
    </row>
    <row r="928" spans="4:4" ht="13.8" x14ac:dyDescent="0.3">
      <c r="D928" s="2"/>
    </row>
    <row r="929" spans="4:4" ht="13.8" x14ac:dyDescent="0.3">
      <c r="D929" s="2"/>
    </row>
    <row r="930" spans="4:4" ht="13.8" x14ac:dyDescent="0.3">
      <c r="D930" s="2"/>
    </row>
    <row r="931" spans="4:4" ht="13.8" x14ac:dyDescent="0.3">
      <c r="D931" s="2"/>
    </row>
    <row r="932" spans="4:4" ht="13.8" x14ac:dyDescent="0.3">
      <c r="D932" s="2"/>
    </row>
    <row r="933" spans="4:4" ht="13.8" x14ac:dyDescent="0.3">
      <c r="D933" s="2"/>
    </row>
    <row r="934" spans="4:4" ht="13.8" x14ac:dyDescent="0.3">
      <c r="D934" s="2"/>
    </row>
    <row r="935" spans="4:4" ht="13.8" x14ac:dyDescent="0.3">
      <c r="D935" s="2"/>
    </row>
    <row r="936" spans="4:4" ht="13.8" x14ac:dyDescent="0.3">
      <c r="D936" s="2"/>
    </row>
    <row r="937" spans="4:4" ht="13.8" x14ac:dyDescent="0.3">
      <c r="D937" s="2"/>
    </row>
    <row r="938" spans="4:4" ht="13.8" x14ac:dyDescent="0.3">
      <c r="D938" s="2"/>
    </row>
    <row r="939" spans="4:4" ht="13.8" x14ac:dyDescent="0.3">
      <c r="D939" s="2"/>
    </row>
    <row r="940" spans="4:4" ht="13.8" x14ac:dyDescent="0.3">
      <c r="D940" s="2"/>
    </row>
    <row r="941" spans="4:4" ht="13.8" x14ac:dyDescent="0.3">
      <c r="D941" s="2"/>
    </row>
    <row r="942" spans="4:4" ht="13.8" x14ac:dyDescent="0.3">
      <c r="D942" s="2"/>
    </row>
    <row r="943" spans="4:4" ht="13.8" x14ac:dyDescent="0.3">
      <c r="D943" s="2"/>
    </row>
    <row r="944" spans="4:4" ht="13.8" x14ac:dyDescent="0.3">
      <c r="D944" s="2"/>
    </row>
    <row r="945" spans="4:4" ht="13.8" x14ac:dyDescent="0.3">
      <c r="D945" s="2"/>
    </row>
    <row r="946" spans="4:4" ht="13.8" x14ac:dyDescent="0.3">
      <c r="D946" s="2"/>
    </row>
    <row r="947" spans="4:4" ht="13.8" x14ac:dyDescent="0.3">
      <c r="D947" s="2"/>
    </row>
    <row r="948" spans="4:4" ht="13.8" x14ac:dyDescent="0.3">
      <c r="D948" s="2"/>
    </row>
    <row r="949" spans="4:4" ht="13.8" x14ac:dyDescent="0.3">
      <c r="D949" s="2"/>
    </row>
    <row r="950" spans="4:4" ht="13.8" x14ac:dyDescent="0.3">
      <c r="D950" s="2"/>
    </row>
    <row r="951" spans="4:4" ht="13.8" x14ac:dyDescent="0.3">
      <c r="D951" s="2"/>
    </row>
    <row r="952" spans="4:4" ht="13.8" x14ac:dyDescent="0.3">
      <c r="D952" s="2"/>
    </row>
    <row r="953" spans="4:4" ht="13.8" x14ac:dyDescent="0.3">
      <c r="D953" s="2"/>
    </row>
    <row r="954" spans="4:4" ht="13.8" x14ac:dyDescent="0.3">
      <c r="D954" s="2"/>
    </row>
    <row r="955" spans="4:4" ht="13.8" x14ac:dyDescent="0.3">
      <c r="D955" s="2"/>
    </row>
    <row r="956" spans="4:4" ht="13.8" x14ac:dyDescent="0.3">
      <c r="D956" s="2"/>
    </row>
    <row r="957" spans="4:4" ht="13.8" x14ac:dyDescent="0.3">
      <c r="D957" s="2"/>
    </row>
    <row r="958" spans="4:4" ht="13.8" x14ac:dyDescent="0.3">
      <c r="D958" s="2"/>
    </row>
    <row r="959" spans="4:4" ht="13.8" x14ac:dyDescent="0.3">
      <c r="D959" s="2"/>
    </row>
    <row r="960" spans="4:4" ht="13.8" x14ac:dyDescent="0.3">
      <c r="D960" s="2"/>
    </row>
    <row r="961" spans="4:4" ht="13.8" x14ac:dyDescent="0.3">
      <c r="D961" s="2"/>
    </row>
    <row r="962" spans="4:4" ht="13.8" x14ac:dyDescent="0.3">
      <c r="D962" s="2"/>
    </row>
    <row r="963" spans="4:4" ht="13.8" x14ac:dyDescent="0.3">
      <c r="D963" s="2"/>
    </row>
    <row r="964" spans="4:4" ht="13.8" x14ac:dyDescent="0.3">
      <c r="D964" s="2"/>
    </row>
    <row r="965" spans="4:4" ht="13.8" x14ac:dyDescent="0.3">
      <c r="D965" s="2"/>
    </row>
    <row r="966" spans="4:4" ht="13.8" x14ac:dyDescent="0.3">
      <c r="D966" s="2"/>
    </row>
    <row r="967" spans="4:4" ht="13.8" x14ac:dyDescent="0.3">
      <c r="D967" s="2"/>
    </row>
    <row r="968" spans="4:4" ht="13.8" x14ac:dyDescent="0.3">
      <c r="D968" s="2"/>
    </row>
    <row r="969" spans="4:4" ht="13.8" x14ac:dyDescent="0.3">
      <c r="D969" s="2"/>
    </row>
    <row r="970" spans="4:4" ht="13.8" x14ac:dyDescent="0.3">
      <c r="D970" s="2"/>
    </row>
    <row r="971" spans="4:4" ht="13.8" x14ac:dyDescent="0.3">
      <c r="D971" s="2"/>
    </row>
    <row r="972" spans="4:4" ht="13.8" x14ac:dyDescent="0.3">
      <c r="D972" s="2"/>
    </row>
    <row r="973" spans="4:4" ht="13.8" x14ac:dyDescent="0.3">
      <c r="D973" s="2"/>
    </row>
    <row r="974" spans="4:4" ht="13.8" x14ac:dyDescent="0.3">
      <c r="D974" s="2"/>
    </row>
    <row r="975" spans="4:4" ht="13.8" x14ac:dyDescent="0.3">
      <c r="D975" s="2"/>
    </row>
    <row r="976" spans="4:4" ht="13.8" x14ac:dyDescent="0.3">
      <c r="D976" s="2"/>
    </row>
    <row r="977" spans="4:4" ht="13.8" x14ac:dyDescent="0.3">
      <c r="D977" s="2"/>
    </row>
    <row r="978" spans="4:4" ht="13.8" x14ac:dyDescent="0.3">
      <c r="D978" s="2"/>
    </row>
    <row r="979" spans="4:4" ht="13.8" x14ac:dyDescent="0.3">
      <c r="D979" s="2"/>
    </row>
    <row r="980" spans="4:4" ht="13.8" x14ac:dyDescent="0.3">
      <c r="D980" s="2"/>
    </row>
    <row r="981" spans="4:4" ht="13.8" x14ac:dyDescent="0.3">
      <c r="D981" s="2"/>
    </row>
    <row r="982" spans="4:4" ht="13.8" x14ac:dyDescent="0.3">
      <c r="D982" s="2"/>
    </row>
    <row r="983" spans="4:4" ht="13.8" x14ac:dyDescent="0.3">
      <c r="D983" s="2"/>
    </row>
    <row r="984" spans="4:4" ht="13.8" x14ac:dyDescent="0.3">
      <c r="D984" s="2"/>
    </row>
    <row r="985" spans="4:4" ht="13.8" x14ac:dyDescent="0.3">
      <c r="D985" s="2"/>
    </row>
    <row r="986" spans="4:4" ht="13.8" x14ac:dyDescent="0.3">
      <c r="D986" s="2"/>
    </row>
    <row r="987" spans="4:4" ht="13.8" x14ac:dyDescent="0.3">
      <c r="D987" s="2"/>
    </row>
    <row r="988" spans="4:4" ht="13.8" x14ac:dyDescent="0.3">
      <c r="D988" s="2"/>
    </row>
    <row r="989" spans="4:4" ht="13.8" x14ac:dyDescent="0.3">
      <c r="D989" s="2"/>
    </row>
    <row r="990" spans="4:4" ht="13.8" x14ac:dyDescent="0.3">
      <c r="D990" s="2"/>
    </row>
    <row r="991" spans="4:4" ht="13.8" x14ac:dyDescent="0.3">
      <c r="D991" s="2"/>
    </row>
    <row r="992" spans="4:4" ht="13.8" x14ac:dyDescent="0.3">
      <c r="D992" s="2"/>
    </row>
    <row r="993" spans="4:4" ht="13.8" x14ac:dyDescent="0.3">
      <c r="D993" s="2"/>
    </row>
    <row r="994" spans="4:4" ht="13.8" x14ac:dyDescent="0.3">
      <c r="D994" s="2"/>
    </row>
    <row r="995" spans="4:4" ht="13.8" x14ac:dyDescent="0.3">
      <c r="D995" s="2"/>
    </row>
    <row r="996" spans="4:4" ht="13.8" x14ac:dyDescent="0.3">
      <c r="D996" s="2"/>
    </row>
    <row r="997" spans="4:4" ht="13.8" x14ac:dyDescent="0.3">
      <c r="D997" s="2"/>
    </row>
    <row r="998" spans="4:4" ht="13.8" x14ac:dyDescent="0.3">
      <c r="D998" s="2"/>
    </row>
    <row r="999" spans="4:4" ht="13.8" x14ac:dyDescent="0.3">
      <c r="D999" s="2"/>
    </row>
    <row r="1000" spans="4:4" ht="13.8" x14ac:dyDescent="0.3">
      <c r="D1000"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CFBEA-EA14-4BD4-BB8C-272B53E97BDA}">
  <sheetPr>
    <outlinePr summaryBelow="0" summaryRight="0"/>
  </sheetPr>
  <dimension ref="A1:BM24"/>
  <sheetViews>
    <sheetView workbookViewId="0"/>
  </sheetViews>
  <sheetFormatPr defaultColWidth="12.6640625" defaultRowHeight="15.75" customHeight="1" x14ac:dyDescent="0.3"/>
  <cols>
    <col min="1" max="16384" width="12.6640625" style="1"/>
  </cols>
  <sheetData>
    <row r="1" spans="1:50" ht="25.8" x14ac:dyDescent="0.5">
      <c r="A1" s="16" t="s">
        <v>583</v>
      </c>
      <c r="B1" s="4" t="s">
        <v>582</v>
      </c>
      <c r="C1" s="4" t="s">
        <v>581</v>
      </c>
      <c r="D1" s="4" t="s">
        <v>580</v>
      </c>
      <c r="E1" s="4" t="s">
        <v>579</v>
      </c>
      <c r="F1" s="4" t="s">
        <v>578</v>
      </c>
      <c r="G1" s="4" t="s">
        <v>577</v>
      </c>
      <c r="H1" s="4" t="s">
        <v>576</v>
      </c>
      <c r="I1" s="4" t="s">
        <v>575</v>
      </c>
      <c r="J1" s="4" t="s">
        <v>574</v>
      </c>
      <c r="K1" s="4" t="s">
        <v>573</v>
      </c>
      <c r="L1" s="4" t="s">
        <v>572</v>
      </c>
      <c r="M1" s="4" t="s">
        <v>571</v>
      </c>
      <c r="N1" s="4" t="s">
        <v>570</v>
      </c>
      <c r="O1" s="4" t="s">
        <v>569</v>
      </c>
      <c r="P1" s="4" t="s">
        <v>568</v>
      </c>
      <c r="Q1" s="4" t="s">
        <v>567</v>
      </c>
      <c r="R1" s="4" t="s">
        <v>566</v>
      </c>
      <c r="S1" s="4" t="s">
        <v>565</v>
      </c>
      <c r="T1" s="4" t="s">
        <v>564</v>
      </c>
      <c r="U1" s="4" t="s">
        <v>563</v>
      </c>
      <c r="V1" s="4" t="s">
        <v>562</v>
      </c>
      <c r="W1" s="4" t="s">
        <v>561</v>
      </c>
      <c r="X1" s="4" t="s">
        <v>560</v>
      </c>
      <c r="Y1" s="4" t="s">
        <v>559</v>
      </c>
      <c r="Z1" s="4" t="s">
        <v>558</v>
      </c>
      <c r="AA1" s="4" t="s">
        <v>557</v>
      </c>
      <c r="AB1" s="4" t="s">
        <v>556</v>
      </c>
      <c r="AC1" s="4" t="s">
        <v>555</v>
      </c>
      <c r="AD1" s="4" t="s">
        <v>554</v>
      </c>
      <c r="AE1" s="4" t="s">
        <v>553</v>
      </c>
      <c r="AF1" s="4" t="s">
        <v>552</v>
      </c>
      <c r="AG1" s="4" t="s">
        <v>551</v>
      </c>
      <c r="AH1" s="4" t="s">
        <v>550</v>
      </c>
      <c r="AI1" s="4" t="s">
        <v>549</v>
      </c>
      <c r="AJ1" s="4" t="s">
        <v>548</v>
      </c>
      <c r="AK1" s="4" t="s">
        <v>547</v>
      </c>
      <c r="AL1" s="4" t="s">
        <v>546</v>
      </c>
      <c r="AM1" s="4" t="s">
        <v>545</v>
      </c>
      <c r="AN1" s="4" t="s">
        <v>544</v>
      </c>
      <c r="AO1" s="4" t="s">
        <v>543</v>
      </c>
      <c r="AP1" s="4" t="s">
        <v>542</v>
      </c>
      <c r="AQ1" s="4" t="s">
        <v>541</v>
      </c>
      <c r="AR1" s="4" t="s">
        <v>540</v>
      </c>
      <c r="AS1" s="4" t="s">
        <v>539</v>
      </c>
      <c r="AT1" s="4" t="s">
        <v>538</v>
      </c>
      <c r="AU1" s="4" t="s">
        <v>537</v>
      </c>
      <c r="AV1" s="4" t="s">
        <v>536</v>
      </c>
      <c r="AW1" s="4" t="s">
        <v>535</v>
      </c>
      <c r="AX1" s="4" t="s">
        <v>168</v>
      </c>
    </row>
    <row r="2" spans="1:50" ht="13.8" x14ac:dyDescent="0.3">
      <c r="AX2" s="4" t="s">
        <v>518</v>
      </c>
    </row>
    <row r="3" spans="1:50" ht="13.8" x14ac:dyDescent="0.3">
      <c r="A3" s="15" t="s">
        <v>534</v>
      </c>
      <c r="AX3" s="4" t="s">
        <v>533</v>
      </c>
    </row>
    <row r="4" spans="1:50" ht="13.8" x14ac:dyDescent="0.3">
      <c r="H4" s="14">
        <v>17409608</v>
      </c>
      <c r="AX4" s="4" t="s">
        <v>532</v>
      </c>
    </row>
    <row r="5" spans="1:50" ht="13.8" x14ac:dyDescent="0.3">
      <c r="A5" s="4" t="s">
        <v>531</v>
      </c>
      <c r="H5" s="14"/>
      <c r="AX5" s="4" t="s">
        <v>530</v>
      </c>
    </row>
    <row r="6" spans="1:50" ht="13.8" x14ac:dyDescent="0.3">
      <c r="A6" s="12" t="s">
        <v>529</v>
      </c>
      <c r="B6" s="11"/>
      <c r="C6" s="11"/>
      <c r="D6" s="11"/>
      <c r="E6" s="11"/>
      <c r="F6" s="11"/>
      <c r="G6" s="11"/>
      <c r="H6" s="14"/>
      <c r="AX6" s="4" t="s">
        <v>528</v>
      </c>
    </row>
    <row r="7" spans="1:50" ht="13.8" x14ac:dyDescent="0.3">
      <c r="A7" s="11"/>
      <c r="B7" s="11"/>
      <c r="C7" s="11"/>
      <c r="D7" s="11"/>
      <c r="E7" s="11"/>
      <c r="F7" s="11"/>
      <c r="G7" s="11"/>
      <c r="AX7" s="4" t="s">
        <v>518</v>
      </c>
    </row>
    <row r="8" spans="1:50" ht="13.8" x14ac:dyDescent="0.3">
      <c r="A8" s="12" t="s">
        <v>527</v>
      </c>
      <c r="B8" s="11"/>
      <c r="C8" s="11"/>
      <c r="D8" s="11"/>
      <c r="E8" s="11"/>
      <c r="F8" s="11"/>
      <c r="G8" s="11"/>
      <c r="H8" s="13" t="s">
        <v>526</v>
      </c>
      <c r="AX8" s="4" t="s">
        <v>525</v>
      </c>
    </row>
    <row r="9" spans="1:50" ht="13.8" x14ac:dyDescent="0.3">
      <c r="A9" s="11"/>
      <c r="B9" s="11"/>
      <c r="C9" s="11"/>
      <c r="D9" s="11"/>
      <c r="E9" s="11"/>
      <c r="F9" s="11"/>
      <c r="G9" s="11"/>
      <c r="AX9" s="4" t="s">
        <v>518</v>
      </c>
    </row>
    <row r="10" spans="1:50" ht="13.8" x14ac:dyDescent="0.3">
      <c r="A10" s="12" t="s">
        <v>524</v>
      </c>
      <c r="B10" s="11"/>
      <c r="C10" s="11"/>
      <c r="D10" s="11"/>
      <c r="E10" s="11"/>
      <c r="F10" s="11"/>
      <c r="G10" s="11"/>
      <c r="AX10" s="4" t="s">
        <v>523</v>
      </c>
    </row>
    <row r="11" spans="1:50" ht="13.8" x14ac:dyDescent="0.3">
      <c r="A11" s="11"/>
      <c r="B11" s="11"/>
      <c r="C11" s="11"/>
      <c r="D11" s="11"/>
      <c r="E11" s="11"/>
      <c r="F11" s="11"/>
      <c r="G11" s="11"/>
      <c r="AX11" s="4" t="s">
        <v>518</v>
      </c>
    </row>
    <row r="12" spans="1:50" ht="13.8" x14ac:dyDescent="0.3">
      <c r="AX12" s="4" t="s">
        <v>518</v>
      </c>
    </row>
    <row r="13" spans="1:50" ht="13.8" x14ac:dyDescent="0.3">
      <c r="A13" s="12" t="s">
        <v>522</v>
      </c>
      <c r="B13" s="11"/>
      <c r="C13" s="11"/>
      <c r="D13" s="11"/>
      <c r="E13" s="11"/>
      <c r="F13" s="11"/>
      <c r="G13" s="11"/>
      <c r="H13" s="11"/>
      <c r="AX13" s="4" t="s">
        <v>521</v>
      </c>
    </row>
    <row r="14" spans="1:50" ht="13.8" x14ac:dyDescent="0.3">
      <c r="A14" s="11"/>
      <c r="B14" s="11"/>
      <c r="C14" s="11"/>
      <c r="D14" s="11"/>
      <c r="E14" s="11"/>
      <c r="F14" s="11"/>
      <c r="G14" s="11"/>
      <c r="H14" s="11"/>
      <c r="AX14" s="4" t="s">
        <v>518</v>
      </c>
    </row>
    <row r="15" spans="1:50" ht="13.8" x14ac:dyDescent="0.3">
      <c r="A15" s="11"/>
      <c r="B15" s="11"/>
      <c r="C15" s="11"/>
      <c r="D15" s="11"/>
      <c r="E15" s="11"/>
      <c r="F15" s="11"/>
      <c r="G15" s="11"/>
      <c r="H15" s="11"/>
      <c r="AX15" s="4" t="s">
        <v>518</v>
      </c>
    </row>
    <row r="16" spans="1:50" ht="13.8" x14ac:dyDescent="0.3">
      <c r="A16" s="12" t="s">
        <v>520</v>
      </c>
      <c r="B16" s="11"/>
      <c r="C16" s="11"/>
      <c r="D16" s="11"/>
      <c r="E16" s="11"/>
      <c r="F16" s="11"/>
      <c r="G16" s="11"/>
      <c r="H16" s="11"/>
      <c r="AX16" s="4" t="s">
        <v>519</v>
      </c>
    </row>
    <row r="17" spans="1:65" ht="13.8" x14ac:dyDescent="0.3">
      <c r="A17" s="11"/>
      <c r="B17" s="11"/>
      <c r="C17" s="11"/>
      <c r="D17" s="11"/>
      <c r="E17" s="11"/>
      <c r="F17" s="11"/>
      <c r="G17" s="11"/>
      <c r="H17" s="11"/>
      <c r="AX17" s="4" t="s">
        <v>518</v>
      </c>
    </row>
    <row r="18" spans="1:65" ht="13.8" x14ac:dyDescent="0.3">
      <c r="AX18" s="4" t="s">
        <v>518</v>
      </c>
    </row>
    <row r="19" spans="1:65" ht="13.8" x14ac:dyDescent="0.3">
      <c r="A19" s="10" t="s">
        <v>517</v>
      </c>
      <c r="B19" s="10"/>
      <c r="C19" s="10"/>
      <c r="D19" s="10" t="s">
        <v>516</v>
      </c>
      <c r="E19" s="10" t="s">
        <v>515</v>
      </c>
      <c r="F19" s="10"/>
      <c r="G19" s="10" t="s">
        <v>514</v>
      </c>
      <c r="H19" s="10" t="s">
        <v>513</v>
      </c>
      <c r="I19" s="10" t="s">
        <v>512</v>
      </c>
      <c r="J19" s="10" t="s">
        <v>511</v>
      </c>
      <c r="K19" s="10" t="s">
        <v>510</v>
      </c>
      <c r="L19" s="10" t="s">
        <v>509</v>
      </c>
      <c r="M19" s="10" t="s">
        <v>508</v>
      </c>
      <c r="N19" s="10" t="s">
        <v>507</v>
      </c>
      <c r="O19" s="10" t="s">
        <v>506</v>
      </c>
      <c r="P19" s="10"/>
      <c r="Q19" s="10" t="s">
        <v>505</v>
      </c>
      <c r="R19" s="10" t="s">
        <v>504</v>
      </c>
      <c r="S19" s="10" t="s">
        <v>503</v>
      </c>
      <c r="T19" s="10" t="s">
        <v>502</v>
      </c>
      <c r="U19" s="10" t="s">
        <v>501</v>
      </c>
      <c r="V19" s="10"/>
      <c r="W19" s="10" t="s">
        <v>500</v>
      </c>
      <c r="X19" s="10" t="s">
        <v>499</v>
      </c>
      <c r="Y19" s="10" t="s">
        <v>498</v>
      </c>
      <c r="Z19" s="10" t="s">
        <v>497</v>
      </c>
      <c r="AA19" s="10" t="s">
        <v>496</v>
      </c>
      <c r="AB19" s="10" t="s">
        <v>495</v>
      </c>
      <c r="AC19" s="10" t="s">
        <v>494</v>
      </c>
      <c r="AD19" s="10" t="s">
        <v>493</v>
      </c>
      <c r="AE19" s="10" t="s">
        <v>492</v>
      </c>
      <c r="AF19" s="10" t="s">
        <v>491</v>
      </c>
      <c r="AG19" s="10" t="s">
        <v>490</v>
      </c>
      <c r="AH19" s="10"/>
      <c r="AI19" s="10"/>
      <c r="AJ19" s="10" t="s">
        <v>489</v>
      </c>
      <c r="AK19" s="10" t="s">
        <v>488</v>
      </c>
      <c r="AL19" s="10" t="s">
        <v>487</v>
      </c>
      <c r="AM19" s="10"/>
      <c r="AN19" s="10" t="s">
        <v>486</v>
      </c>
      <c r="AO19" s="10" t="s">
        <v>485</v>
      </c>
      <c r="AP19" s="10" t="s">
        <v>484</v>
      </c>
      <c r="AQ19" s="10" t="s">
        <v>483</v>
      </c>
      <c r="AR19" s="10"/>
      <c r="AS19" s="10"/>
      <c r="AT19" s="10" t="s">
        <v>482</v>
      </c>
      <c r="AU19" s="10" t="s">
        <v>481</v>
      </c>
      <c r="AV19" s="10" t="s">
        <v>480</v>
      </c>
      <c r="AW19" s="10" t="s">
        <v>479</v>
      </c>
      <c r="AX19" s="10" t="s">
        <v>478</v>
      </c>
      <c r="AY19" s="10"/>
      <c r="AZ19" s="10"/>
      <c r="BA19" s="10"/>
      <c r="BB19" s="10"/>
      <c r="BC19" s="10"/>
      <c r="BD19" s="10"/>
      <c r="BE19" s="10"/>
      <c r="BF19" s="10"/>
      <c r="BG19" s="10"/>
      <c r="BH19" s="10"/>
      <c r="BI19" s="10"/>
      <c r="BJ19" s="10"/>
      <c r="BK19" s="10"/>
      <c r="BL19" s="10"/>
      <c r="BM19" s="10"/>
    </row>
    <row r="20" spans="1:65" ht="13.8" hidden="1" x14ac:dyDescent="0.3">
      <c r="A20" s="4" t="s">
        <v>477</v>
      </c>
      <c r="C20" s="4" t="s">
        <v>476</v>
      </c>
      <c r="D20" s="4" t="s">
        <v>475</v>
      </c>
      <c r="E20" s="4" t="s">
        <v>474</v>
      </c>
      <c r="G20" s="4" t="s">
        <v>473</v>
      </c>
      <c r="H20" s="4" t="s">
        <v>472</v>
      </c>
      <c r="I20" s="4" t="s">
        <v>471</v>
      </c>
      <c r="J20" s="4" t="s">
        <v>470</v>
      </c>
      <c r="K20" s="4" t="s">
        <v>469</v>
      </c>
      <c r="L20" s="4" t="s">
        <v>468</v>
      </c>
      <c r="M20" s="4" t="s">
        <v>467</v>
      </c>
      <c r="N20" s="4" t="s">
        <v>466</v>
      </c>
      <c r="O20" s="4" t="s">
        <v>465</v>
      </c>
      <c r="Q20" s="4" t="s">
        <v>464</v>
      </c>
      <c r="R20" s="4" t="s">
        <v>463</v>
      </c>
      <c r="S20" s="4" t="s">
        <v>462</v>
      </c>
      <c r="T20" s="4" t="s">
        <v>461</v>
      </c>
      <c r="U20" s="4" t="s">
        <v>460</v>
      </c>
      <c r="W20" s="4" t="s">
        <v>459</v>
      </c>
      <c r="X20" s="4" t="s">
        <v>458</v>
      </c>
      <c r="Y20" s="4" t="s">
        <v>457</v>
      </c>
      <c r="Z20" s="4" t="s">
        <v>456</v>
      </c>
      <c r="AA20" s="4" t="s">
        <v>455</v>
      </c>
      <c r="AB20" s="4" t="s">
        <v>454</v>
      </c>
      <c r="AC20" s="4" t="s">
        <v>453</v>
      </c>
      <c r="AD20" s="4" t="s">
        <v>452</v>
      </c>
      <c r="AE20" s="4" t="s">
        <v>451</v>
      </c>
      <c r="AF20" s="4" t="s">
        <v>450</v>
      </c>
      <c r="AG20" s="4" t="s">
        <v>449</v>
      </c>
      <c r="AJ20" s="4" t="s">
        <v>448</v>
      </c>
      <c r="AK20" s="4" t="s">
        <v>447</v>
      </c>
      <c r="AL20" s="4" t="s">
        <v>446</v>
      </c>
      <c r="AN20" s="4" t="s">
        <v>445</v>
      </c>
      <c r="AO20" s="4" t="s">
        <v>444</v>
      </c>
      <c r="AP20" s="4" t="s">
        <v>443</v>
      </c>
      <c r="AQ20" s="4" t="s">
        <v>442</v>
      </c>
      <c r="AR20" s="4" t="s">
        <v>441</v>
      </c>
      <c r="AS20" s="4" t="s">
        <v>440</v>
      </c>
      <c r="AT20" s="4" t="s">
        <v>439</v>
      </c>
      <c r="AU20" s="4" t="s">
        <v>438</v>
      </c>
      <c r="AV20" s="4" t="s">
        <v>437</v>
      </c>
      <c r="AW20" s="4" t="s">
        <v>436</v>
      </c>
      <c r="AX20" s="4" t="s">
        <v>435</v>
      </c>
    </row>
    <row r="21" spans="1:65" ht="13.8" x14ac:dyDescent="0.3">
      <c r="A21" s="1" t="s">
        <v>434</v>
      </c>
      <c r="D21" s="1" t="str">
        <f ca="1">IFERROR(__xludf.DUMMYFUNCTION("ARRAY_CONSTRAIN(split(CELL(""ADDRESS"",zsupermetrics_GDj5YnERaSbcMsLXGnWBLfWz8C8rMn),""!""),1,1)"),"Instagram Profile Overview'")</f>
        <v>Instagram Profile Overview'</v>
      </c>
      <c r="E21" s="1" t="e">
        <f ca="1">CELL("ADDRESS",zsupermetrics_GDj5YnERaSbcMsLXGnWBLfWz8C8rMn)&amp;":"&amp;ADDRESS(ROW(zsupermetrics_GDj5YnERaSbcMsLXGnWBLfWz8C8rMn)+ROWS(zsupermetrics_GDj5YnERaSbcMsLXGnWBLfWz8C8rMn)-1,COLUMN(zsupermetrics_GDj5YnERaSbcMsLXGnWBLfWz8C8rMn)+COLUMNS(zsupermetrics_GDj5YnERaSbcMsLXGnWBLfWz8C8rMn)-1)</f>
        <v>#N/A</v>
      </c>
      <c r="G21" s="8">
        <v>45708.508194444439</v>
      </c>
      <c r="H21" s="8">
        <v>45719.009641203702</v>
      </c>
      <c r="I21" s="7" t="s">
        <v>413</v>
      </c>
      <c r="J21" s="1">
        <v>1740960806259</v>
      </c>
      <c r="K21" s="1" t="b">
        <v>0</v>
      </c>
      <c r="L21" s="1">
        <v>17</v>
      </c>
      <c r="M21" s="1" t="s">
        <v>412</v>
      </c>
      <c r="O21" s="1" t="s">
        <v>411</v>
      </c>
      <c r="Q21" s="1" t="s">
        <v>433</v>
      </c>
      <c r="R21" s="9"/>
      <c r="S21" s="9"/>
      <c r="W21" s="1" t="s">
        <v>409</v>
      </c>
      <c r="X21" s="1" t="s">
        <v>432</v>
      </c>
      <c r="Y21" s="1" t="s">
        <v>431</v>
      </c>
      <c r="Z21" s="1" t="s">
        <v>406</v>
      </c>
      <c r="AA21" s="1" t="s">
        <v>406</v>
      </c>
      <c r="AB21" s="1" t="s">
        <v>406</v>
      </c>
      <c r="AC21" s="1" t="s">
        <v>430</v>
      </c>
      <c r="AD21" s="1">
        <v>10000</v>
      </c>
      <c r="AE21" s="1">
        <v>10</v>
      </c>
      <c r="AF21" s="1" t="s">
        <v>429</v>
      </c>
      <c r="AG21" s="1" t="s">
        <v>403</v>
      </c>
      <c r="AP21" s="6" t="s">
        <v>428</v>
      </c>
      <c r="AU21" s="1" t="s">
        <v>401</v>
      </c>
      <c r="AX21" s="1" t="s">
        <v>427</v>
      </c>
    </row>
    <row r="22" spans="1:65" ht="13.8" x14ac:dyDescent="0.3">
      <c r="A22" s="1" t="s">
        <v>426</v>
      </c>
      <c r="D22" s="1" t="str">
        <f ca="1">IFERROR(__xludf.DUMMYFUNCTION("ARRAY_CONSTRAIN(split(CELL(""ADDRESS"",zsupermetrics_vEcXfrw7XizjEaUcUa9j987sreKKnQ),""!""),1,1)"),"Instagram Age Gender Demographics'")</f>
        <v>Instagram Age Gender Demographics'</v>
      </c>
      <c r="E22" s="1" t="e">
        <f ca="1">CELL("ADDRESS",zsupermetrics_vEcXfrw7XizjEaUcUa9j987sreKKnQ)&amp;":"&amp;ADDRESS(ROW(zsupermetrics_vEcXfrw7XizjEaUcUa9j987sreKKnQ)+ROWS(zsupermetrics_vEcXfrw7XizjEaUcUa9j987sreKKnQ)-1,COLUMN(zsupermetrics_vEcXfrw7XizjEaUcUa9j987sreKKnQ)+COLUMNS(zsupermetrics_vEcXfrw7XizjEaUcUa9j987sreKKnQ)-1)</f>
        <v>#N/A</v>
      </c>
      <c r="G22" s="8">
        <v>45708.507928240739</v>
      </c>
      <c r="H22" s="8">
        <v>45719.009513888886</v>
      </c>
      <c r="I22" s="7" t="s">
        <v>413</v>
      </c>
      <c r="J22" s="1">
        <v>1740960806259</v>
      </c>
      <c r="K22" s="1" t="b">
        <v>0</v>
      </c>
      <c r="M22" s="1" t="s">
        <v>412</v>
      </c>
      <c r="O22" s="1" t="s">
        <v>411</v>
      </c>
      <c r="Q22" s="1" t="s">
        <v>420</v>
      </c>
      <c r="W22" s="1" t="s">
        <v>409</v>
      </c>
      <c r="X22" s="1" t="s">
        <v>419</v>
      </c>
      <c r="Y22" s="1" t="s">
        <v>425</v>
      </c>
      <c r="Z22" s="1" t="s">
        <v>406</v>
      </c>
      <c r="AA22" s="1" t="s">
        <v>406</v>
      </c>
      <c r="AB22" s="1" t="s">
        <v>406</v>
      </c>
      <c r="AC22" s="1" t="s">
        <v>424</v>
      </c>
      <c r="AD22" s="1">
        <v>10000</v>
      </c>
      <c r="AE22" s="1">
        <v>10</v>
      </c>
      <c r="AF22" s="1" t="s">
        <v>404</v>
      </c>
      <c r="AG22" s="1" t="s">
        <v>403</v>
      </c>
      <c r="AP22" s="6" t="s">
        <v>423</v>
      </c>
      <c r="AU22" s="1" t="s">
        <v>401</v>
      </c>
      <c r="AX22" s="1" t="s">
        <v>422</v>
      </c>
    </row>
    <row r="23" spans="1:65" ht="13.8" x14ac:dyDescent="0.3">
      <c r="A23" s="1" t="s">
        <v>421</v>
      </c>
      <c r="D23" s="1" t="str">
        <f ca="1">IFERROR(__xludf.DUMMYFUNCTION("ARRAY_CONSTRAIN(split(CELL(""ADDRESS"",zsupermetrics_ksYj9BGSguKMXWGS7GQDKCnAMVzA57),""!""),1,1)"),"Instagram Top Cities Regions'")</f>
        <v>Instagram Top Cities Regions'</v>
      </c>
      <c r="E23" s="1" t="str">
        <f ca="1">CELL("ADDRESS",zsupermetrics_ksYj9BGSguKMXWGS7GQDKCnAMVzA57)&amp;":"&amp;ADDRESS(ROW(zsupermetrics_ksYj9BGSguKMXWGS7GQDKCnAMVzA57)+ROWS(zsupermetrics_ksYj9BGSguKMXWGS7GQDKCnAMVzA57)-1,COLUMN(zsupermetrics_ksYj9BGSguKMXWGS7GQDKCnAMVzA57)+COLUMNS(zsupermetrics_ksYj9BGSguKMXWGS7GQDKCnAMVzA57)-1)</f>
        <v>'[InstagramDataSet2.xlsx]Instagram Top Cities Regions'!$A$1:$D$51</v>
      </c>
      <c r="G23" s="8">
        <v>45708.507951388892</v>
      </c>
      <c r="H23" s="8">
        <v>45719.009675925925</v>
      </c>
      <c r="I23" s="7" t="s">
        <v>413</v>
      </c>
      <c r="J23" s="1">
        <v>1740960806259</v>
      </c>
      <c r="K23" s="1" t="b">
        <v>0</v>
      </c>
      <c r="M23" s="1" t="s">
        <v>412</v>
      </c>
      <c r="O23" s="1" t="s">
        <v>411</v>
      </c>
      <c r="Q23" s="1" t="s">
        <v>420</v>
      </c>
      <c r="W23" s="1" t="s">
        <v>409</v>
      </c>
      <c r="X23" s="1" t="s">
        <v>419</v>
      </c>
      <c r="Y23" s="1" t="s">
        <v>418</v>
      </c>
      <c r="Z23" s="1" t="s">
        <v>406</v>
      </c>
      <c r="AA23" s="1" t="s">
        <v>406</v>
      </c>
      <c r="AB23" s="1" t="s">
        <v>406</v>
      </c>
      <c r="AC23" s="1" t="s">
        <v>417</v>
      </c>
      <c r="AD23" s="1">
        <v>10000</v>
      </c>
      <c r="AE23" s="1">
        <v>10</v>
      </c>
      <c r="AF23" s="1" t="s">
        <v>404</v>
      </c>
      <c r="AG23" s="1" t="s">
        <v>403</v>
      </c>
      <c r="AP23" s="6" t="s">
        <v>416</v>
      </c>
      <c r="AU23" s="1" t="s">
        <v>401</v>
      </c>
      <c r="AX23" s="1" t="s">
        <v>415</v>
      </c>
    </row>
    <row r="24" spans="1:65" ht="13.8" x14ac:dyDescent="0.3">
      <c r="A24" s="1" t="s">
        <v>414</v>
      </c>
      <c r="D24" s="1" t="str">
        <f ca="1">IFERROR(__xludf.DUMMYFUNCTION("ARRAY_CONSTRAIN(split(CELL(""ADDRESS"",zsupermetrics_SkbmV9BtudScLBteNfKWkajssXhVys),""!""),1,1)"),"Instagram Post Engagement'")</f>
        <v>Instagram Post Engagement'</v>
      </c>
      <c r="E24" s="1" t="e">
        <f ca="1">CELL("ADDRESS",zsupermetrics_SkbmV9BtudScLBteNfKWkajssXhVys)&amp;":"&amp;ADDRESS(ROW(zsupermetrics_SkbmV9BtudScLBteNfKWkajssXhVys)+ROWS(zsupermetrics_SkbmV9BtudScLBteNfKWkajssXhVys)-1,COLUMN(zsupermetrics_SkbmV9BtudScLBteNfKWkajssXhVys)+COLUMNS(zsupermetrics_SkbmV9BtudScLBteNfKWkajssXhVys)-1)</f>
        <v>#N/A</v>
      </c>
      <c r="G24" s="8">
        <v>45708.477951388893</v>
      </c>
      <c r="H24" s="8">
        <v>45719.00990740741</v>
      </c>
      <c r="I24" s="7" t="s">
        <v>413</v>
      </c>
      <c r="J24" s="1">
        <v>1740960806259</v>
      </c>
      <c r="K24" s="1" t="b">
        <v>0</v>
      </c>
      <c r="L24" s="1">
        <v>39</v>
      </c>
      <c r="M24" s="1" t="s">
        <v>412</v>
      </c>
      <c r="O24" s="1" t="s">
        <v>411</v>
      </c>
      <c r="Q24" s="1" t="s">
        <v>410</v>
      </c>
      <c r="W24" s="1" t="s">
        <v>409</v>
      </c>
      <c r="X24" s="1" t="s">
        <v>408</v>
      </c>
      <c r="Y24" s="1" t="s">
        <v>407</v>
      </c>
      <c r="Z24" s="1" t="s">
        <v>406</v>
      </c>
      <c r="AA24" s="1" t="s">
        <v>406</v>
      </c>
      <c r="AB24" s="1" t="s">
        <v>406</v>
      </c>
      <c r="AC24" s="1" t="s">
        <v>405</v>
      </c>
      <c r="AD24" s="1">
        <v>10000</v>
      </c>
      <c r="AE24" s="1">
        <v>10</v>
      </c>
      <c r="AF24" s="1" t="s">
        <v>404</v>
      </c>
      <c r="AG24" s="1" t="s">
        <v>403</v>
      </c>
      <c r="AP24" s="6" t="s">
        <v>402</v>
      </c>
      <c r="AU24" s="1" t="s">
        <v>401</v>
      </c>
      <c r="AX24" s="1" t="s">
        <v>400</v>
      </c>
    </row>
  </sheetData>
  <mergeCells count="5">
    <mergeCell ref="A6:G7"/>
    <mergeCell ref="A8:G9"/>
    <mergeCell ref="A10:G11"/>
    <mergeCell ref="A13:H15"/>
    <mergeCell ref="A16:H17"/>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Instagram Post Engagement</vt:lpstr>
      <vt:lpstr>Instagram Age Gender Demographi</vt:lpstr>
      <vt:lpstr>Instagram Top Cities Regions</vt:lpstr>
      <vt:lpstr>SupermetricsQueries (2)</vt:lpstr>
      <vt:lpstr>'SupermetricsQueries (2)'!zsupermetrics_forceRefresh</vt:lpstr>
      <vt:lpstr>zsupermetrics_ksYj9BGSguKMXWGS7GQDKCnAMVzA57</vt:lpstr>
      <vt:lpstr>'SupermetricsQueries (2)'!zsupermetrics_refreshAll</vt:lpstr>
      <vt:lpstr>'SupermetricsQueries (2)'!zsupermetrics_refreshAllSilent</vt:lpstr>
      <vt:lpstr>zsupermetrics_SkbmV9BtudScLBteNfKWkajssXhVys</vt:lpstr>
      <vt:lpstr>zsupermetrics_vEcXfrw7XizjEaUcUa9j987sreKKnQ</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Smita Pable</dc:creator>
  <cp:lastModifiedBy>Smita Pable</cp:lastModifiedBy>
  <dcterms:created xsi:type="dcterms:W3CDTF">2025-06-12T14:50:32Z</dcterms:created>
  <dcterms:modified xsi:type="dcterms:W3CDTF">2025-06-12T17:04:26Z</dcterms:modified>
</cp:coreProperties>
</file>